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abulary" sheetId="1" state="visible" r:id="rId3"/>
    <sheet name="Lessons" sheetId="2" state="visible" r:id="rId4"/>
    <sheet name="Summary" sheetId="3" state="visible" r:id="rId5"/>
  </sheets>
  <definedNames>
    <definedName function="false" hidden="true" localSheetId="0" name="_xlnm._FilterDatabase" vbProcedure="false">Vocabulary!$A$4:$K$154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<sst xmlns="http://schemas.openxmlformats.org/spreadsheetml/2006/main" count="1397" uniqueCount="461">
  <si>
    <t xml:space="preserve">Madinah Arabic — Book 1 Vocabulary</t>
  </si>
  <si>
    <t xml:space="preserve">All Arabic words taught in the course, in lesson order. One row per word.</t>
  </si>
  <si>
    <t xml:space="preserve">Session</t>
  </si>
  <si>
    <t xml:space="preserve">Lesson</t>
  </si>
  <si>
    <t xml:space="preserve">Part</t>
  </si>
  <si>
    <t xml:space="preserve">Lesson Topic (Arabic)</t>
  </si>
  <si>
    <t xml:space="preserve">Lesson Topic (English)</t>
  </si>
  <si>
    <t xml:space="preserve">Arabic</t>
  </si>
  <si>
    <t xml:space="preserve">English Meaning</t>
  </si>
  <si>
    <t xml:space="preserve">Indefinite Form</t>
  </si>
  <si>
    <t xml:space="preserve">Icon</t>
  </si>
  <si>
    <t xml:space="preserve">In Quran</t>
  </si>
  <si>
    <t xml:space="preserve">Source</t>
  </si>
  <si>
    <t xml:space="preserve">1.1</t>
  </si>
  <si>
    <t xml:space="preserve">A</t>
  </si>
  <si>
    <t xml:space="preserve">مَا هَذَا؟</t>
  </si>
  <si>
    <t xml:space="preserve">What Is This? (Part 1)</t>
  </si>
  <si>
    <t xml:space="preserve">هَذَا</t>
  </si>
  <si>
    <t xml:space="preserve">this (m.)</t>
  </si>
  <si>
    <t xml:space="preserve">No</t>
  </si>
  <si>
    <t xml:space="preserve">Word card</t>
  </si>
  <si>
    <t xml:space="preserve">مَا</t>
  </si>
  <si>
    <t xml:space="preserve">what</t>
  </si>
  <si>
    <t xml:space="preserve">كِتَابٌ</t>
  </si>
  <si>
    <t xml:space="preserve">book</t>
  </si>
  <si>
    <t xml:space="preserve">📖</t>
  </si>
  <si>
    <t xml:space="preserve">Yes</t>
  </si>
  <si>
    <t xml:space="preserve">قَلَمٌ</t>
  </si>
  <si>
    <t xml:space="preserve">pen</t>
  </si>
  <si>
    <t xml:space="preserve">🖊️</t>
  </si>
  <si>
    <t xml:space="preserve">مِفْتَاحٌ</t>
  </si>
  <si>
    <t xml:space="preserve">key</t>
  </si>
  <si>
    <t xml:space="preserve">🔑</t>
  </si>
  <si>
    <t xml:space="preserve">بَابٌ</t>
  </si>
  <si>
    <t xml:space="preserve">door</t>
  </si>
  <si>
    <t xml:space="preserve">🚪</t>
  </si>
  <si>
    <t xml:space="preserve">B</t>
  </si>
  <si>
    <t xml:space="preserve">What Is This? (Part 2)</t>
  </si>
  <si>
    <t xml:space="preserve">بَيْتٌ</t>
  </si>
  <si>
    <t xml:space="preserve">house</t>
  </si>
  <si>
    <t xml:space="preserve">🏠</t>
  </si>
  <si>
    <t xml:space="preserve">مَسْجِدٌ</t>
  </si>
  <si>
    <t xml:space="preserve">mosque</t>
  </si>
  <si>
    <t xml:space="preserve">🕌</t>
  </si>
  <si>
    <t xml:space="preserve">نَجْمٌ</t>
  </si>
  <si>
    <t xml:space="preserve">star</t>
  </si>
  <si>
    <t xml:space="preserve">⭐</t>
  </si>
  <si>
    <t xml:space="preserve">حَجَرٌ</t>
  </si>
  <si>
    <t xml:space="preserve">stone</t>
  </si>
  <si>
    <t xml:space="preserve">🪨</t>
  </si>
  <si>
    <t xml:space="preserve">C</t>
  </si>
  <si>
    <t xml:space="preserve">الْحَيَوَانَاتُ</t>
  </si>
  <si>
    <t xml:space="preserve">Animals</t>
  </si>
  <si>
    <t xml:space="preserve">كَلْبٌ</t>
  </si>
  <si>
    <t xml:space="preserve">dog</t>
  </si>
  <si>
    <t xml:space="preserve">🐕</t>
  </si>
  <si>
    <t xml:space="preserve">ذِئْبٌ</t>
  </si>
  <si>
    <t xml:space="preserve">wolf</t>
  </si>
  <si>
    <t xml:space="preserve">🐺</t>
  </si>
  <si>
    <t xml:space="preserve">حِمَارٌ</t>
  </si>
  <si>
    <t xml:space="preserve">donkey</t>
  </si>
  <si>
    <t xml:space="preserve">🫏</t>
  </si>
  <si>
    <t xml:space="preserve">جَمَلٌ</t>
  </si>
  <si>
    <t xml:space="preserve">camel</t>
  </si>
  <si>
    <t xml:space="preserve">🐪</t>
  </si>
  <si>
    <t xml:space="preserve">فِيلٌ</t>
  </si>
  <si>
    <t xml:space="preserve">elephant</t>
  </si>
  <si>
    <t xml:space="preserve">🐘</t>
  </si>
  <si>
    <t xml:space="preserve">حُوتٌ</t>
  </si>
  <si>
    <t xml:space="preserve">large fish (whale)</t>
  </si>
  <si>
    <t xml:space="preserve">🐋</t>
  </si>
  <si>
    <t xml:space="preserve">خِنْزِيرٌ</t>
  </si>
  <si>
    <t xml:space="preserve">pig</t>
  </si>
  <si>
    <t xml:space="preserve">🐖</t>
  </si>
  <si>
    <t xml:space="preserve">قِرْدٌ</t>
  </si>
  <si>
    <t xml:space="preserve">monkey</t>
  </si>
  <si>
    <t xml:space="preserve">🐒</t>
  </si>
  <si>
    <t xml:space="preserve">عَنْكَبُوتٌ</t>
  </si>
  <si>
    <t xml:space="preserve">spider</t>
  </si>
  <si>
    <t xml:space="preserve">🕷️</t>
  </si>
  <si>
    <t xml:space="preserve">وَ</t>
  </si>
  <si>
    <t xml:space="preserve">and</t>
  </si>
  <si>
    <t xml:space="preserve">D</t>
  </si>
  <si>
    <t xml:space="preserve">الْمِهَنُ وَالْمَلَابِسُ</t>
  </si>
  <si>
    <t xml:space="preserve">Professions &amp; Clothing</t>
  </si>
  <si>
    <t xml:space="preserve">مَنْ</t>
  </si>
  <si>
    <t xml:space="preserve">who</t>
  </si>
  <si>
    <t xml:space="preserve">إِمَامٌ</t>
  </si>
  <si>
    <t xml:space="preserve">imam</t>
  </si>
  <si>
    <t xml:space="preserve">👳🏼‍♂️</t>
  </si>
  <si>
    <t xml:space="preserve">رَسُولٌ</t>
  </si>
  <si>
    <t xml:space="preserve">messenger</t>
  </si>
  <si>
    <t xml:space="preserve">تَاجِرٌ</t>
  </si>
  <si>
    <t xml:space="preserve">merchant</t>
  </si>
  <si>
    <t xml:space="preserve">🧑‍💼</t>
  </si>
  <si>
    <t xml:space="preserve">سِرَاجٌ</t>
  </si>
  <si>
    <t xml:space="preserve">lamp</t>
  </si>
  <si>
    <t xml:space="preserve">🪔</t>
  </si>
  <si>
    <t xml:space="preserve">قَمِيصٌ</t>
  </si>
  <si>
    <t xml:space="preserve">shirt</t>
  </si>
  <si>
    <t xml:space="preserve">👕</t>
  </si>
  <si>
    <t xml:space="preserve">E</t>
  </si>
  <si>
    <t xml:space="preserve">أَسْئِلَةُ نَعَمْ وَلَا</t>
  </si>
  <si>
    <t xml:space="preserve">Yes/No Questions</t>
  </si>
  <si>
    <t xml:space="preserve">نَعَمْ</t>
  </si>
  <si>
    <t xml:space="preserve">yes</t>
  </si>
  <si>
    <t xml:space="preserve">لَا</t>
  </si>
  <si>
    <t xml:space="preserve">no</t>
  </si>
  <si>
    <t xml:space="preserve">أَهَذَا</t>
  </si>
  <si>
    <t xml:space="preserve">Is this...? (m.)</t>
  </si>
  <si>
    <t xml:space="preserve">هَلْ</t>
  </si>
  <si>
    <t xml:space="preserve">Is...? (yes/no question)</t>
  </si>
  <si>
    <t xml:space="preserve">قِطٌّ</t>
  </si>
  <si>
    <t xml:space="preserve">cat</t>
  </si>
  <si>
    <t xml:space="preserve">🐈</t>
  </si>
  <si>
    <t xml:space="preserve">1.2</t>
  </si>
  <si>
    <t xml:space="preserve">ذَلِكَ — That Is...</t>
  </si>
  <si>
    <t xml:space="preserve">Far Demonstratives (Part 1)</t>
  </si>
  <si>
    <t xml:space="preserve">ذَلِكَ</t>
  </si>
  <si>
    <t xml:space="preserve">that (m., far)</t>
  </si>
  <si>
    <t xml:space="preserve">سَرِيرٌ</t>
  </si>
  <si>
    <t xml:space="preserve">bed</t>
  </si>
  <si>
    <t xml:space="preserve">🛏️</t>
  </si>
  <si>
    <t xml:space="preserve">كُرْسِيٌّ</t>
  </si>
  <si>
    <t xml:space="preserve">chair</t>
  </si>
  <si>
    <t xml:space="preserve">🪑</t>
  </si>
  <si>
    <t xml:space="preserve">مَكْتَبٌ</t>
  </si>
  <si>
    <t xml:space="preserve">desk/office</t>
  </si>
  <si>
    <t xml:space="preserve">🗂️</t>
  </si>
  <si>
    <t xml:space="preserve">جِدَارٌ</t>
  </si>
  <si>
    <t xml:space="preserve">wall</t>
  </si>
  <si>
    <t xml:space="preserve">🧱</t>
  </si>
  <si>
    <t xml:space="preserve">Far Demonstratives (Part 2)</t>
  </si>
  <si>
    <t xml:space="preserve">وَلَدٌ</t>
  </si>
  <si>
    <t xml:space="preserve">boy</t>
  </si>
  <si>
    <t xml:space="preserve">👦</t>
  </si>
  <si>
    <t xml:space="preserve">رَجُلٌ</t>
  </si>
  <si>
    <t xml:space="preserve">man</t>
  </si>
  <si>
    <t xml:space="preserve">👨</t>
  </si>
  <si>
    <t xml:space="preserve">طَالِبٌ</t>
  </si>
  <si>
    <t xml:space="preserve">student (m.)</t>
  </si>
  <si>
    <t xml:space="preserve">👨‍🎓</t>
  </si>
  <si>
    <t xml:space="preserve">مُدَرِّسٌ</t>
  </si>
  <si>
    <t xml:space="preserve">teacher (m.)</t>
  </si>
  <si>
    <t xml:space="preserve">👨‍🏫</t>
  </si>
  <si>
    <t xml:space="preserve">1.3</t>
  </si>
  <si>
    <t xml:space="preserve">الـ — The Definite Article (Part 1)</t>
  </si>
  <si>
    <t xml:space="preserve">Making Nouns Definite</t>
  </si>
  <si>
    <t xml:space="preserve">الْكِتَابُ</t>
  </si>
  <si>
    <t xml:space="preserve">the book</t>
  </si>
  <si>
    <t xml:space="preserve">الْقَلَمُ</t>
  </si>
  <si>
    <t xml:space="preserve">the pen</t>
  </si>
  <si>
    <t xml:space="preserve">الْبَيْتُ</t>
  </si>
  <si>
    <t xml:space="preserve">the house</t>
  </si>
  <si>
    <t xml:space="preserve">الْبَابُ</t>
  </si>
  <si>
    <t xml:space="preserve">the door</t>
  </si>
  <si>
    <t xml:space="preserve">Quran verse tile</t>
  </si>
  <si>
    <t xml:space="preserve">رَيْبَ</t>
  </si>
  <si>
    <t xml:space="preserve">doubt</t>
  </si>
  <si>
    <t xml:space="preserve">فِيهِ</t>
  </si>
  <si>
    <t xml:space="preserve">in it</t>
  </si>
  <si>
    <t xml:space="preserve">الْعَتِيقُ</t>
  </si>
  <si>
    <t xml:space="preserve">the Ancient</t>
  </si>
  <si>
    <t xml:space="preserve">الـ — Sun &amp; Moon Letters</t>
  </si>
  <si>
    <t xml:space="preserve">Sun Letters (Part 2)</t>
  </si>
  <si>
    <t xml:space="preserve">الشَّمْسُ</t>
  </si>
  <si>
    <t xml:space="preserve">the sun</t>
  </si>
  <si>
    <t xml:space="preserve">شَمْسٌ</t>
  </si>
  <si>
    <t xml:space="preserve">☀️</t>
  </si>
  <si>
    <t xml:space="preserve">الرَّجُلُ</t>
  </si>
  <si>
    <t xml:space="preserve">the man</t>
  </si>
  <si>
    <t xml:space="preserve">النَّجْمُ</t>
  </si>
  <si>
    <t xml:space="preserve">the star</t>
  </si>
  <si>
    <t xml:space="preserve">الطَّالِبُ</t>
  </si>
  <si>
    <t xml:space="preserve">the student</t>
  </si>
  <si>
    <t xml:space="preserve">بِحُسْبَانٍ</t>
  </si>
  <si>
    <t xml:space="preserve">by precise measure</t>
  </si>
  <si>
    <t xml:space="preserve">وَالشَّجَرُ</t>
  </si>
  <si>
    <t xml:space="preserve">and the trees</t>
  </si>
  <si>
    <t xml:space="preserve">يَسْجُدَانِ</t>
  </si>
  <si>
    <t xml:space="preserve">bow down</t>
  </si>
  <si>
    <t xml:space="preserve">1.4</t>
  </si>
  <si>
    <t xml:space="preserve">الصِّفَاتُ — Adjectives (Part 1)</t>
  </si>
  <si>
    <t xml:space="preserve">Describing with Adjectives</t>
  </si>
  <si>
    <t xml:space="preserve">كَبِيرٌ</t>
  </si>
  <si>
    <t xml:space="preserve">big</t>
  </si>
  <si>
    <t xml:space="preserve">🔼</t>
  </si>
  <si>
    <t xml:space="preserve">صَغِيرٌ</t>
  </si>
  <si>
    <t xml:space="preserve">small</t>
  </si>
  <si>
    <t xml:space="preserve">🔽</t>
  </si>
  <si>
    <t xml:space="preserve">جَدِيدٌ</t>
  </si>
  <si>
    <t xml:space="preserve">new</t>
  </si>
  <si>
    <t xml:space="preserve">✨</t>
  </si>
  <si>
    <t xml:space="preserve">قَدِيمٌ</t>
  </si>
  <si>
    <t xml:space="preserve">old</t>
  </si>
  <si>
    <t xml:space="preserve">📜</t>
  </si>
  <si>
    <t xml:space="preserve">الصِّفَاتُ — More Adjectives (Part 2)</t>
  </si>
  <si>
    <t xml:space="preserve">More Adjectives</t>
  </si>
  <si>
    <t xml:space="preserve">جَمِيلٌ</t>
  </si>
  <si>
    <t xml:space="preserve">beautiful</t>
  </si>
  <si>
    <t xml:space="preserve">طَوِيلٌ</t>
  </si>
  <si>
    <t xml:space="preserve">tall/long</t>
  </si>
  <si>
    <t xml:space="preserve">قَصِيرٌ</t>
  </si>
  <si>
    <t xml:space="preserve">short</t>
  </si>
  <si>
    <t xml:space="preserve">كَرِيمٌ</t>
  </si>
  <si>
    <t xml:space="preserve">generous/noble</t>
  </si>
  <si>
    <t xml:space="preserve">إِنِّي</t>
  </si>
  <si>
    <t xml:space="preserve">indeed</t>
  </si>
  <si>
    <t xml:space="preserve">أُلْقِيَ</t>
  </si>
  <si>
    <t xml:space="preserve">was delivered</t>
  </si>
  <si>
    <t xml:space="preserve">إِلَيَّ</t>
  </si>
  <si>
    <t xml:space="preserve">to me</t>
  </si>
  <si>
    <t xml:space="preserve">إِنَّهُ</t>
  </si>
  <si>
    <t xml:space="preserve">indeed it is</t>
  </si>
  <si>
    <t xml:space="preserve">لَقَوْلُ</t>
  </si>
  <si>
    <t xml:space="preserve">truly the word of</t>
  </si>
  <si>
    <t xml:space="preserve">1.5</t>
  </si>
  <si>
    <t xml:space="preserve">حُرُوفُ الْجَرِّ (Part 1)</t>
  </si>
  <si>
    <t xml:space="preserve">Prepositions: في، عَلَى، مِنْ، إِلَى</t>
  </si>
  <si>
    <t xml:space="preserve">فِي</t>
  </si>
  <si>
    <t xml:space="preserve">in</t>
  </si>
  <si>
    <t xml:space="preserve">عَلَى</t>
  </si>
  <si>
    <t xml:space="preserve">on</t>
  </si>
  <si>
    <t xml:space="preserve">مِنْ</t>
  </si>
  <si>
    <t xml:space="preserve">from</t>
  </si>
  <si>
    <t xml:space="preserve">إِلَى</t>
  </si>
  <si>
    <t xml:space="preserve">to</t>
  </si>
  <si>
    <t xml:space="preserve">الْمَصِيرُ</t>
  </si>
  <si>
    <t xml:space="preserve">the final return</t>
  </si>
  <si>
    <t xml:space="preserve">فَلْيَتَوَكَّلِ</t>
  </si>
  <si>
    <t xml:space="preserve">so let them trust</t>
  </si>
  <si>
    <t xml:space="preserve">الْمُؤْمِنُونَ</t>
  </si>
  <si>
    <t xml:space="preserve">the believers</t>
  </si>
  <si>
    <t xml:space="preserve">حُرُوفُ الْجَرِّ (Part 2)</t>
  </si>
  <si>
    <t xml:space="preserve">Prepositions: تَحْتَ، فَوْقَ، أَمَامَ</t>
  </si>
  <si>
    <t xml:space="preserve">تَحْتَ</t>
  </si>
  <si>
    <t xml:space="preserve">under</t>
  </si>
  <si>
    <t xml:space="preserve">فَوْقَ</t>
  </si>
  <si>
    <t xml:space="preserve">above</t>
  </si>
  <si>
    <t xml:space="preserve">أَمَامَ</t>
  </si>
  <si>
    <t xml:space="preserve">in front of</t>
  </si>
  <si>
    <t xml:space="preserve">خَلْفَ</t>
  </si>
  <si>
    <t xml:space="preserve">behind</t>
  </si>
  <si>
    <t xml:space="preserve">تَجْرِي</t>
  </si>
  <si>
    <t xml:space="preserve">flow</t>
  </si>
  <si>
    <t xml:space="preserve">الْأَنْهَارُ</t>
  </si>
  <si>
    <t xml:space="preserve">the rivers</t>
  </si>
  <si>
    <t xml:space="preserve">وَمِنْ</t>
  </si>
  <si>
    <t xml:space="preserve">and from</t>
  </si>
  <si>
    <t xml:space="preserve">ظُلَلٌ</t>
  </si>
  <si>
    <t xml:space="preserve">coverings</t>
  </si>
  <si>
    <t xml:space="preserve">مِنَ</t>
  </si>
  <si>
    <t xml:space="preserve">of</t>
  </si>
  <si>
    <t xml:space="preserve">النَّارِ</t>
  </si>
  <si>
    <t xml:space="preserve">the Fire</t>
  </si>
  <si>
    <t xml:space="preserve">1.6</t>
  </si>
  <si>
    <t xml:space="preserve">الضَّمَائِرُ (Part 1)</t>
  </si>
  <si>
    <t xml:space="preserve">Personal Pronouns</t>
  </si>
  <si>
    <t xml:space="preserve">هُوَ</t>
  </si>
  <si>
    <t xml:space="preserve">he</t>
  </si>
  <si>
    <t xml:space="preserve">هِيَ</t>
  </si>
  <si>
    <t xml:space="preserve">she</t>
  </si>
  <si>
    <t xml:space="preserve">أَنَا</t>
  </si>
  <si>
    <t xml:space="preserve">I</t>
  </si>
  <si>
    <t xml:space="preserve">أَنْتَ</t>
  </si>
  <si>
    <t xml:space="preserve">you (m.)</t>
  </si>
  <si>
    <t xml:space="preserve">أَحَدٌ</t>
  </si>
  <si>
    <t xml:space="preserve">the One</t>
  </si>
  <si>
    <t xml:space="preserve">إِنَّنِي</t>
  </si>
  <si>
    <t xml:space="preserve">Indeed I</t>
  </si>
  <si>
    <t xml:space="preserve">الضَّمَائِرُ (Part 2)</t>
  </si>
  <si>
    <t xml:space="preserve">Pronouns with Professions</t>
  </si>
  <si>
    <t xml:space="preserve">مَلَكٌ</t>
  </si>
  <si>
    <t xml:space="preserve">angel</t>
  </si>
  <si>
    <t xml:space="preserve">فَلَّاحٌ</t>
  </si>
  <si>
    <t xml:space="preserve">farmer</t>
  </si>
  <si>
    <t xml:space="preserve">🧑‍🌾</t>
  </si>
  <si>
    <t xml:space="preserve">مُحَمَّدٌ</t>
  </si>
  <si>
    <t xml:space="preserve">Muhammad (name)</t>
  </si>
  <si>
    <t xml:space="preserve">اللَّهِ</t>
  </si>
  <si>
    <t xml:space="preserve">of Allah</t>
  </si>
  <si>
    <t xml:space="preserve">وَمَا</t>
  </si>
  <si>
    <t xml:space="preserve">and not</t>
  </si>
  <si>
    <t xml:space="preserve">إِلَّا</t>
  </si>
  <si>
    <t xml:space="preserve">but only</t>
  </si>
  <si>
    <t xml:space="preserve">1.7</t>
  </si>
  <si>
    <t xml:space="preserve">الْمُؤَنَّثُ (Part 1)</t>
  </si>
  <si>
    <t xml:space="preserve">Feminine Nouns &amp; هَذِهِ</t>
  </si>
  <si>
    <t xml:space="preserve">هَذِهِ</t>
  </si>
  <si>
    <t xml:space="preserve">this (f.)</t>
  </si>
  <si>
    <t xml:space="preserve">تِلْكَ</t>
  </si>
  <si>
    <t xml:space="preserve">that (f., far)</t>
  </si>
  <si>
    <t xml:space="preserve">شَجَرَةٌ</t>
  </si>
  <si>
    <t xml:space="preserve">tree</t>
  </si>
  <si>
    <t xml:space="preserve">🌳</t>
  </si>
  <si>
    <t xml:space="preserve">مَدْرَسَةٌ</t>
  </si>
  <si>
    <t xml:space="preserve">school</t>
  </si>
  <si>
    <t xml:space="preserve">🏫</t>
  </si>
  <si>
    <t xml:space="preserve">غُرْفَةٌ</t>
  </si>
  <si>
    <t xml:space="preserve">room</t>
  </si>
  <si>
    <t xml:space="preserve">🛋️</t>
  </si>
  <si>
    <t xml:space="preserve">حَدِيقَةٌ</t>
  </si>
  <si>
    <t xml:space="preserve">garden</t>
  </si>
  <si>
    <t xml:space="preserve">🌿</t>
  </si>
  <si>
    <t xml:space="preserve">بَقَرَةٌ</t>
  </si>
  <si>
    <t xml:space="preserve">cow</t>
  </si>
  <si>
    <t xml:space="preserve">🐄</t>
  </si>
  <si>
    <t xml:space="preserve">نَمْلَةٌ</t>
  </si>
  <si>
    <t xml:space="preserve">ant</t>
  </si>
  <si>
    <t xml:space="preserve">🐜</t>
  </si>
  <si>
    <t xml:space="preserve">نَحْلَةٌ</t>
  </si>
  <si>
    <t xml:space="preserve">bee</t>
  </si>
  <si>
    <t xml:space="preserve">🐝</t>
  </si>
  <si>
    <t xml:space="preserve">ذُبَابَةٌ</t>
  </si>
  <si>
    <t xml:space="preserve">fly</t>
  </si>
  <si>
    <t xml:space="preserve">🪰</t>
  </si>
  <si>
    <t xml:space="preserve">الْمُؤَنَّثُ (Part 2)</t>
  </si>
  <si>
    <t xml:space="preserve">Feminine Adjectives &amp; Professions</t>
  </si>
  <si>
    <t xml:space="preserve">مُدَرِّسَةٌ</t>
  </si>
  <si>
    <t xml:space="preserve">teacher (f.)</t>
  </si>
  <si>
    <t xml:space="preserve">👩‍🏫</t>
  </si>
  <si>
    <t xml:space="preserve">طَالِبَةٌ</t>
  </si>
  <si>
    <t xml:space="preserve">student (f.)</t>
  </si>
  <si>
    <t xml:space="preserve">👩‍🎓</t>
  </si>
  <si>
    <t xml:space="preserve">مُؤْمِنَةٌ</t>
  </si>
  <si>
    <t xml:space="preserve">believer (f.)</t>
  </si>
  <si>
    <t xml:space="preserve">جَمِيلَةٌ</t>
  </si>
  <si>
    <t xml:space="preserve">beautiful (f.)</t>
  </si>
  <si>
    <t xml:space="preserve">الطَّبِيعَةُ الْمُؤَنَّثَةُ</t>
  </si>
  <si>
    <t xml:space="preserve">Quranic Nature Nouns (f.)</t>
  </si>
  <si>
    <t xml:space="preserve">سَمَاءٌ</t>
  </si>
  <si>
    <t xml:space="preserve">sky/heaven</t>
  </si>
  <si>
    <t xml:space="preserve">☁️</t>
  </si>
  <si>
    <t xml:space="preserve">أَرْضٌ</t>
  </si>
  <si>
    <t xml:space="preserve">earth</t>
  </si>
  <si>
    <t xml:space="preserve">🌍</t>
  </si>
  <si>
    <t xml:space="preserve">جَنَّةٌ</t>
  </si>
  <si>
    <t xml:space="preserve">paradise/garden</t>
  </si>
  <si>
    <t xml:space="preserve">نَارٌ</t>
  </si>
  <si>
    <t xml:space="preserve">fire</t>
  </si>
  <si>
    <t xml:space="preserve">🔥</t>
  </si>
  <si>
    <t xml:space="preserve">الَّذِي</t>
  </si>
  <si>
    <t xml:space="preserve">the One who</t>
  </si>
  <si>
    <t xml:space="preserve">خَلَقَ</t>
  </si>
  <si>
    <t xml:space="preserve">created</t>
  </si>
  <si>
    <t xml:space="preserve">أَصْحَابُ</t>
  </si>
  <si>
    <t xml:space="preserve">companions of</t>
  </si>
  <si>
    <t xml:space="preserve">هُمُ</t>
  </si>
  <si>
    <t xml:space="preserve">they are</t>
  </si>
  <si>
    <t xml:space="preserve">الْفَائِزُونَ</t>
  </si>
  <si>
    <t xml:space="preserve">the successful</t>
  </si>
  <si>
    <t xml:space="preserve">1.8</t>
  </si>
  <si>
    <t xml:space="preserve">الْإِضَافَةُ (Part 1)</t>
  </si>
  <si>
    <t xml:space="preserve">Possessive Constructions</t>
  </si>
  <si>
    <t xml:space="preserve">رَسُولُ اللهِ</t>
  </si>
  <si>
    <t xml:space="preserve">messenger of Allah</t>
  </si>
  <si>
    <t xml:space="preserve">يَوْمُ الدِّينِ</t>
  </si>
  <si>
    <t xml:space="preserve">Day of Judgement</t>
  </si>
  <si>
    <t xml:space="preserve">رَبُّ الْعَالَمِينَ</t>
  </si>
  <si>
    <t xml:space="preserve">Lord of the worlds</t>
  </si>
  <si>
    <t xml:space="preserve">عَبْدُ اللهِ</t>
  </si>
  <si>
    <t xml:space="preserve">servant of Allah</t>
  </si>
  <si>
    <t xml:space="preserve">نَبِيٌّ</t>
  </si>
  <si>
    <t xml:space="preserve">prophet</t>
  </si>
  <si>
    <t xml:space="preserve">الْإِضَافَةُ (Part 2)</t>
  </si>
  <si>
    <t xml:space="preserve">Possessive Pronouns</t>
  </si>
  <si>
    <t xml:space="preserve">رَبِّي</t>
  </si>
  <si>
    <t xml:space="preserve">my Lord</t>
  </si>
  <si>
    <t xml:space="preserve">رَبُّكَ</t>
  </si>
  <si>
    <t xml:space="preserve">your Lord</t>
  </si>
  <si>
    <t xml:space="preserve">رَحْمَتُهُ</t>
  </si>
  <si>
    <t xml:space="preserve">His mercy</t>
  </si>
  <si>
    <t xml:space="preserve">نُورُهُ</t>
  </si>
  <si>
    <t xml:space="preserve">His light</t>
  </si>
  <si>
    <t xml:space="preserve">عَظِيمٌ</t>
  </si>
  <si>
    <t xml:space="preserve">great, mighty</t>
  </si>
  <si>
    <t xml:space="preserve">1.9</t>
  </si>
  <si>
    <t xml:space="preserve">الْعَائِلَةُ (Part 1)</t>
  </si>
  <si>
    <t xml:space="preserve">Family Vocabulary</t>
  </si>
  <si>
    <t xml:space="preserve">أَبٌ</t>
  </si>
  <si>
    <t xml:space="preserve">father</t>
  </si>
  <si>
    <t xml:space="preserve">أُمٌّ</t>
  </si>
  <si>
    <t xml:space="preserve">mother</t>
  </si>
  <si>
    <t xml:space="preserve">👩</t>
  </si>
  <si>
    <t xml:space="preserve">أَخٌ</t>
  </si>
  <si>
    <t xml:space="preserve">brother</t>
  </si>
  <si>
    <t xml:space="preserve">أُخْتٌ</t>
  </si>
  <si>
    <t xml:space="preserve">sister</t>
  </si>
  <si>
    <t xml:space="preserve">👧</t>
  </si>
  <si>
    <t xml:space="preserve">كَيْفَ</t>
  </si>
  <si>
    <t xml:space="preserve">how</t>
  </si>
  <si>
    <t xml:space="preserve">❓</t>
  </si>
  <si>
    <t xml:space="preserve">الْعَائِلَةُ (Part 2)</t>
  </si>
  <si>
    <t xml:space="preserve">Extended Family</t>
  </si>
  <si>
    <t xml:space="preserve">زَوْجٌ</t>
  </si>
  <si>
    <t xml:space="preserve">husband</t>
  </si>
  <si>
    <t xml:space="preserve">🤵</t>
  </si>
  <si>
    <t xml:space="preserve">زَوْجَةٌ</t>
  </si>
  <si>
    <t xml:space="preserve">wife</t>
  </si>
  <si>
    <t xml:space="preserve">👰</t>
  </si>
  <si>
    <t xml:space="preserve">اِبْنٌ</t>
  </si>
  <si>
    <t xml:space="preserve">son</t>
  </si>
  <si>
    <t xml:space="preserve">بِنْتٌ</t>
  </si>
  <si>
    <t xml:space="preserve">daughter</t>
  </si>
  <si>
    <t xml:space="preserve">1.10</t>
  </si>
  <si>
    <t xml:space="preserve">الَّذِي — The One Who / Which</t>
  </si>
  <si>
    <t xml:space="preserve">Relative Pronoun (Part 1)</t>
  </si>
  <si>
    <t xml:space="preserve">who/which (m.)</t>
  </si>
  <si>
    <t xml:space="preserve">الَّتِي</t>
  </si>
  <si>
    <t xml:space="preserve">who/which (f.)</t>
  </si>
  <si>
    <t xml:space="preserve">الَّذِينَ</t>
  </si>
  <si>
    <t xml:space="preserve">who/which (m.pl.)</t>
  </si>
  <si>
    <t xml:space="preserve">الْفَصْلُ</t>
  </si>
  <si>
    <t xml:space="preserve">classroom</t>
  </si>
  <si>
    <t xml:space="preserve">مُرَاجَعَةٌ — Book 1 Review</t>
  </si>
  <si>
    <t xml:space="preserve">Book 1 Revision</t>
  </si>
  <si>
    <t xml:space="preserve">أَيْنَ</t>
  </si>
  <si>
    <t xml:space="preserve">where</t>
  </si>
  <si>
    <t xml:space="preserve">أَيْضًا</t>
  </si>
  <si>
    <t xml:space="preserve">also</t>
  </si>
  <si>
    <t xml:space="preserve">Lesson-by-Lesson Grammar Notes</t>
  </si>
  <si>
    <t xml:space="preserve">Topic (Arabic)</t>
  </si>
  <si>
    <t xml:space="preserve">Topic (English)</t>
  </si>
  <si>
    <t xml:space="preserve">Words</t>
  </si>
  <si>
    <t xml:space="preserve">Grammar Note</t>
  </si>
  <si>
    <t xml:space="preserve">هَذَا means "this" for masculine objects. مَا هَذَا؟ = What is this? Answer: هَذَا كِتَابٌ. Nouns take ـٌ (tanwīn ḍamm) in the indefinite.</t>
  </si>
  <si>
    <t xml:space="preserve">More هَذَا sentences. Nouns ending in ـٌ are indefinite ("a book"). Every Arabic noun has a gender — masculine or feminine.</t>
  </si>
  <si>
    <t xml:space="preserve">More هَذَا/ذَلِكَ with animals. All these nouns are masculine. وَ means "and" — it attaches directly to the next word: هَذَا فِيلٌ وَذَلِكَ جَمَلٌ. Note: عَنْكَبُوتٌ (spider) can be treated as masculine or feminine; we use هَذَا with it here.</t>
  </si>
  <si>
    <t xml:space="preserve">مَنْ هَذَا؟ = Who is this? Used for people: مَنْ هَذَا؟ هَذَا إِمَامٌ. مَا هَذَا؟ هَذَا قَمِيصٌ.</t>
  </si>
  <si>
    <t xml:space="preserve">Both أَ and هَلْ are yes/no question particles — they are interchangeable. أَهَذَا مَسْجِدٌ؟ = هَلْ هَذَا مَسْجِدٌ؟ = Is this a mosque? Answer: نَعَمْ، هَذَا مَسْجِدٌ (Yes) or لَا، هَذَا بَيْتٌ (No). أَ attaches directly to the next word; هَلْ stands alone.</t>
  </si>
  <si>
    <t xml:space="preserve">ذَلِكَ = "that" for masculine objects far away. وَ ("and") joins the two sentences: هَذَا مَكْتَبٌ وَذَلِكَ سَرِيرٌ.</t>
  </si>
  <si>
    <t xml:space="preserve">Practice هَذَا and ذَلِكَ with people. مَنْ هَذَا؟ = Who is this? (used for people, not objects). وَ joins two sentences: هَذَا طَالِبٌ وَذَلِكَ مُدَرِّسٌ.</t>
  </si>
  <si>
    <t xml:space="preserve">الـ makes a noun definite: كِتَابٌ → الْكِتَابُ. The ـٌ disappears, replaced by ـُ. With "moon letters" الـ is fully pronounced: الْبَيْتُ.</t>
  </si>
  <si>
    <t xml:space="preserve">With "sun letters" (ت،ث،د،ذ،ر،ز،س،ش،ص،ض،ط،ظ،ل،ن) the ل of الـ assimilates. Written but not pronounced — the first letter doubles instead.</t>
  </si>
  <si>
    <t xml:space="preserve">Adjectives come AFTER the noun and must match it. Definite noun → definite adjective. Indefinite noun → indefinite adjective.</t>
  </si>
  <si>
    <t xml:space="preserve">More masculine adjectives. The adjective follows the noun and takes the same tanwīn.</t>
  </si>
  <si>
    <t xml:space="preserve">After a preposition, the noun takes genitive case — it loses ـٌ and takes ـٍ (or ـِ if definite).</t>
  </si>
  <si>
    <t xml:space="preserve">Location prepositions answer أَيْنَ؟ (where?). The noun after them is genitive — it loses ـٌ and takes ـٍ.</t>
  </si>
  <si>
    <t xml:space="preserve">Arabic has no verb "to be" in the present tense. The pronoun + noun alone forms a complete sentence.</t>
  </si>
  <si>
    <t xml:space="preserve">مَنْ أَنْتَ؟ = Who are you? أَنَا طَالِبٌ = I am a student. هُوَ مُدَرِّسٌ = He is a teacher.</t>
  </si>
  <si>
    <t xml:space="preserve">Feminine nouns end in ةٌ. Use هَذِهِ (this, f.) and تِلْكَ (that, f.): هَذِهِ شَجَرَةٌ. Adjectives must match: هَذِهِ شَجَرَةٌ جَمِيلَةٌ.</t>
  </si>
  <si>
    <t xml:space="preserve">Feminine adjectives add ةٌ: كَبِيرٌ → كَبِيرَةٌ. Professions too: مُدَرِّسٌ → مُدَرِّسَةٌ. هِيَ مُدَرِّسَةٌ = She is a teacher.</t>
  </si>
  <si>
    <t xml:space="preserve">High-frequency feminine nouns from the Quran. All use هَذِهِ: هَذِهِ سَمَاءٌ. The pair سَمَاءٌ (sky) and أَرْضٌ (earth) appear together constantly in the Quran. جَنَّةٌ (garden/paradise) and نَارٌ (fire) are the two ultimate outcomes described throughout.</t>
  </si>
  <si>
    <t xml:space="preserve">Iḍāfa (possessive construction): رَسُولُ اللهِ (messenger of Allah). The first noun (mudāf) loses tanwīn and CANNOT take الـ. The second noun (mudāf ilayhi) takes genitive ـِ. The first noun becomes definite automatically — رَبُّ الْعَالَمِينَ means THE Lord of the worlds, not "a lord". From Al-Fātiḥa: الْحَمْدُ لِلَّهِ رَبِّ الْعَالَمِينَ — every word here is a Quranic iḍāfa or genitive link.</t>
  </si>
  <si>
    <t xml:space="preserve">Attached pronouns suffix directly to the noun. رَبِّي (my Lord — ي replaces tanwīn), رَبُّكَ (your Lord — كَ attached), رَحْمَتُهُ (His mercy — هُ attached), نُورُهُ (His light — هُ attached). These exact forms occur throughout the Quran. Note: after ي, the preceding vowel shifts to kasra — رَبِّي not رَبُيِ.</t>
  </si>
  <si>
    <t xml:space="preserve">أَبٌ (father) and أَخٌ (brother) are irregular: أَبِي (my father), أَخِي (my brother). These are الْأَسْمَاءُ الْخَمْسَةُ — special nouns.</t>
  </si>
  <si>
    <t xml:space="preserve">عِنْدِي أَخٌ وَأُخْتٌ = I have a brother and a sister. لِي أَبٌ كَرِيمٌ = I have a generous father.</t>
  </si>
  <si>
    <t xml:space="preserve">الَّذِي (who/which) for masculine singular. الَّتِي for feminine. الطَّالِبُ الَّذِي فِي الْفَصْلِ = The student who is in the class.</t>
  </si>
  <si>
    <t xml:space="preserve">Review all Book 1 patterns: هَذَا/ذَلِكَ/هَذِهِ/تِلْكَ, الـ, adjective agreement, prepositions, pronouns, iḍāfa, الَّذِي.</t>
  </si>
  <si>
    <t xml:space="preserve">Course Summary</t>
  </si>
  <si>
    <t xml:space="preserve">Sessions (lessons)</t>
  </si>
  <si>
    <t xml:space="preserve">Total Arabic entries</t>
  </si>
  <si>
    <t xml:space="preserve">  on New Words cards</t>
  </si>
  <si>
    <t xml:space="preserve">  grammar &amp; exercises only</t>
  </si>
  <si>
    <t xml:space="preserve">  Quran verse tiles</t>
  </si>
  <si>
    <t xml:space="preserve">Distinct Arabic entries</t>
  </si>
  <si>
    <t xml:space="preserve">Words with a Quran verse</t>
  </si>
  <si>
    <t xml:space="preserve">Words with an icon</t>
  </si>
  <si>
    <t xml:space="preserve">Definite/indefinite pairs</t>
  </si>
  <si>
    <t xml:space="preserve">Avg word-card words / lesson</t>
  </si>
  <si>
    <t xml:space="preserve">Source: generated directly from SESSIONS in src/App.jsx. "In Quran" = the word has a linked verse in QURAN_CONNECTIONS. "Indefinite Form" is filled only for the definite-article lessons, which teach e.g. الْكِتَابُ against كِتَابٌ. Source column: "Word card" = listed in the session's vocab and drilled; "Grammar &amp; exercises" (amber) = taught in a grammar note or exercise prompt but NOT on the word cards, so never drilled — this includes the demonstratives هَذَا / ذَلِكَ / هَذِهِ / تِلْكَ; "Quran verse tile" = pre-placed gold tiles from a verse.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</si>
</sst>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172A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4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59669"/>
        <bgColor rgb="FF008080"/>
      </patternFill>
    </fill>
    <fill>
      <patternFill patternType="solid">
        <fgColor rgb="FFF1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59669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1F5F9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16"/>
    <col collapsed="false" customWidth="true" hidden="false" outlineLevel="0" max="9" min="9" style="0" width="6"/>
    <col collapsed="false" customWidth="true" hidden="false" outlineLevel="0" max="10" min="10" style="0" width="9"/>
    <col collapsed="false" customWidth="true" hidden="false" outlineLevel="0" max="11" min="11" style="0" width="1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1.75" hidden="false" customHeight="true" outlineLevel="0" collapsed="false">
      <c r="A5" s="4" t="n">
        <v>1</v>
      </c>
      <c r="B5" s="4" t="s">
        <v>13</v>
      </c>
      <c r="C5" s="4" t="s">
        <v>14</v>
      </c>
      <c r="D5" s="5" t="s">
        <v>15</v>
      </c>
      <c r="E5" s="6" t="s">
        <v>16</v>
      </c>
      <c r="F5" s="5" t="s">
        <v>17</v>
      </c>
      <c r="G5" s="6" t="s">
        <v>18</v>
      </c>
      <c r="H5" s="5"/>
      <c r="I5" s="4"/>
      <c r="J5" s="4" t="s">
        <v>19</v>
      </c>
      <c r="K5" s="4" t="s">
        <v>20</v>
      </c>
    </row>
    <row r="6" customFormat="false" ht="21.75" hidden="false" customHeight="true" outlineLevel="0" collapsed="false">
      <c r="A6" s="4" t="n">
        <v>1</v>
      </c>
      <c r="B6" s="4" t="s">
        <v>13</v>
      </c>
      <c r="C6" s="4" t="s">
        <v>14</v>
      </c>
      <c r="D6" s="5" t="s">
        <v>15</v>
      </c>
      <c r="E6" s="6" t="s">
        <v>16</v>
      </c>
      <c r="F6" s="5" t="s">
        <v>21</v>
      </c>
      <c r="G6" s="6" t="s">
        <v>22</v>
      </c>
      <c r="H6" s="5"/>
      <c r="I6" s="4"/>
      <c r="J6" s="4" t="s">
        <v>19</v>
      </c>
      <c r="K6" s="4" t="s">
        <v>20</v>
      </c>
    </row>
    <row r="7" customFormat="false" ht="21.75" hidden="false" customHeight="true" outlineLevel="0" collapsed="false">
      <c r="A7" s="4" t="n">
        <v>1</v>
      </c>
      <c r="B7" s="4" t="s">
        <v>13</v>
      </c>
      <c r="C7" s="4" t="s">
        <v>14</v>
      </c>
      <c r="D7" s="5" t="s">
        <v>15</v>
      </c>
      <c r="E7" s="6" t="s">
        <v>16</v>
      </c>
      <c r="F7" s="5" t="s">
        <v>23</v>
      </c>
      <c r="G7" s="6" t="s">
        <v>24</v>
      </c>
      <c r="H7" s="5"/>
      <c r="I7" s="4" t="s">
        <v>25</v>
      </c>
      <c r="J7" s="4" t="s">
        <v>26</v>
      </c>
      <c r="K7" s="4" t="s">
        <v>20</v>
      </c>
    </row>
    <row r="8" customFormat="false" ht="21.75" hidden="false" customHeight="true" outlineLevel="0" collapsed="false">
      <c r="A8" s="4" t="n">
        <v>1</v>
      </c>
      <c r="B8" s="4" t="s">
        <v>13</v>
      </c>
      <c r="C8" s="4" t="s">
        <v>14</v>
      </c>
      <c r="D8" s="5" t="s">
        <v>15</v>
      </c>
      <c r="E8" s="6" t="s">
        <v>16</v>
      </c>
      <c r="F8" s="5" t="s">
        <v>27</v>
      </c>
      <c r="G8" s="6" t="s">
        <v>28</v>
      </c>
      <c r="H8" s="5"/>
      <c r="I8" s="4" t="s">
        <v>29</v>
      </c>
      <c r="J8" s="4" t="s">
        <v>26</v>
      </c>
      <c r="K8" s="4" t="s">
        <v>20</v>
      </c>
    </row>
    <row r="9" customFormat="false" ht="21.75" hidden="false" customHeight="true" outlineLevel="0" collapsed="false">
      <c r="A9" s="4" t="n">
        <v>1</v>
      </c>
      <c r="B9" s="4" t="s">
        <v>13</v>
      </c>
      <c r="C9" s="4" t="s">
        <v>14</v>
      </c>
      <c r="D9" s="5" t="s">
        <v>15</v>
      </c>
      <c r="E9" s="6" t="s">
        <v>16</v>
      </c>
      <c r="F9" s="5" t="s">
        <v>30</v>
      </c>
      <c r="G9" s="6" t="s">
        <v>31</v>
      </c>
      <c r="H9" s="5"/>
      <c r="I9" s="4" t="s">
        <v>32</v>
      </c>
      <c r="J9" s="4" t="s">
        <v>26</v>
      </c>
      <c r="K9" s="4" t="s">
        <v>20</v>
      </c>
    </row>
    <row r="10" customFormat="false" ht="21.75" hidden="false" customHeight="true" outlineLevel="0" collapsed="false">
      <c r="A10" s="4" t="n">
        <v>1</v>
      </c>
      <c r="B10" s="4" t="s">
        <v>13</v>
      </c>
      <c r="C10" s="4" t="s">
        <v>14</v>
      </c>
      <c r="D10" s="5" t="s">
        <v>15</v>
      </c>
      <c r="E10" s="6" t="s">
        <v>16</v>
      </c>
      <c r="F10" s="5" t="s">
        <v>33</v>
      </c>
      <c r="G10" s="6" t="s">
        <v>34</v>
      </c>
      <c r="H10" s="5"/>
      <c r="I10" s="4" t="s">
        <v>35</v>
      </c>
      <c r="J10" s="4" t="s">
        <v>26</v>
      </c>
      <c r="K10" s="4" t="s">
        <v>20</v>
      </c>
    </row>
    <row r="11" customFormat="false" ht="21.75" hidden="false" customHeight="true" outlineLevel="0" collapsed="false">
      <c r="A11" s="7" t="n">
        <v>2</v>
      </c>
      <c r="B11" s="7" t="s">
        <v>13</v>
      </c>
      <c r="C11" s="7" t="s">
        <v>36</v>
      </c>
      <c r="D11" s="8" t="s">
        <v>15</v>
      </c>
      <c r="E11" s="9" t="s">
        <v>37</v>
      </c>
      <c r="F11" s="8" t="s">
        <v>38</v>
      </c>
      <c r="G11" s="9" t="s">
        <v>39</v>
      </c>
      <c r="H11" s="8"/>
      <c r="I11" s="7" t="s">
        <v>40</v>
      </c>
      <c r="J11" s="7" t="s">
        <v>26</v>
      </c>
      <c r="K11" s="7" t="s">
        <v>20</v>
      </c>
    </row>
    <row r="12" customFormat="false" ht="21.75" hidden="false" customHeight="true" outlineLevel="0" collapsed="false">
      <c r="A12" s="7" t="n">
        <v>2</v>
      </c>
      <c r="B12" s="7" t="s">
        <v>13</v>
      </c>
      <c r="C12" s="7" t="s">
        <v>36</v>
      </c>
      <c r="D12" s="8" t="s">
        <v>15</v>
      </c>
      <c r="E12" s="9" t="s">
        <v>37</v>
      </c>
      <c r="F12" s="8" t="s">
        <v>41</v>
      </c>
      <c r="G12" s="9" t="s">
        <v>42</v>
      </c>
      <c r="H12" s="8"/>
      <c r="I12" s="7" t="s">
        <v>43</v>
      </c>
      <c r="J12" s="7" t="s">
        <v>26</v>
      </c>
      <c r="K12" s="7" t="s">
        <v>20</v>
      </c>
    </row>
    <row r="13" customFormat="false" ht="21.75" hidden="false" customHeight="true" outlineLevel="0" collapsed="false">
      <c r="A13" s="7" t="n">
        <v>2</v>
      </c>
      <c r="B13" s="7" t="s">
        <v>13</v>
      </c>
      <c r="C13" s="7" t="s">
        <v>36</v>
      </c>
      <c r="D13" s="8" t="s">
        <v>15</v>
      </c>
      <c r="E13" s="9" t="s">
        <v>37</v>
      </c>
      <c r="F13" s="8" t="s">
        <v>44</v>
      </c>
      <c r="G13" s="9" t="s">
        <v>45</v>
      </c>
      <c r="H13" s="8"/>
      <c r="I13" s="7" t="s">
        <v>46</v>
      </c>
      <c r="J13" s="7" t="s">
        <v>26</v>
      </c>
      <c r="K13" s="7" t="s">
        <v>20</v>
      </c>
    </row>
    <row r="14" customFormat="false" ht="21.75" hidden="false" customHeight="true" outlineLevel="0" collapsed="false">
      <c r="A14" s="7" t="n">
        <v>2</v>
      </c>
      <c r="B14" s="7" t="s">
        <v>13</v>
      </c>
      <c r="C14" s="7" t="s">
        <v>36</v>
      </c>
      <c r="D14" s="8" t="s">
        <v>15</v>
      </c>
      <c r="E14" s="9" t="s">
        <v>37</v>
      </c>
      <c r="F14" s="8" t="s">
        <v>47</v>
      </c>
      <c r="G14" s="9" t="s">
        <v>48</v>
      </c>
      <c r="H14" s="8"/>
      <c r="I14" s="7" t="s">
        <v>49</v>
      </c>
      <c r="J14" s="7" t="s">
        <v>26</v>
      </c>
      <c r="K14" s="7" t="s">
        <v>20</v>
      </c>
    </row>
    <row r="15" customFormat="false" ht="21.75" hidden="false" customHeight="true" outlineLevel="0" collapsed="false">
      <c r="A15" s="4" t="n">
        <v>3</v>
      </c>
      <c r="B15" s="4" t="s">
        <v>13</v>
      </c>
      <c r="C15" s="4" t="s">
        <v>50</v>
      </c>
      <c r="D15" s="5" t="s">
        <v>51</v>
      </c>
      <c r="E15" s="6" t="s">
        <v>52</v>
      </c>
      <c r="F15" s="5" t="s">
        <v>53</v>
      </c>
      <c r="G15" s="6" t="s">
        <v>54</v>
      </c>
      <c r="H15" s="5"/>
      <c r="I15" s="4" t="s">
        <v>55</v>
      </c>
      <c r="J15" s="4" t="s">
        <v>26</v>
      </c>
      <c r="K15" s="4" t="s">
        <v>20</v>
      </c>
    </row>
    <row r="16" customFormat="false" ht="21.75" hidden="false" customHeight="true" outlineLevel="0" collapsed="false">
      <c r="A16" s="4" t="n">
        <v>3</v>
      </c>
      <c r="B16" s="4" t="s">
        <v>13</v>
      </c>
      <c r="C16" s="4" t="s">
        <v>50</v>
      </c>
      <c r="D16" s="5" t="s">
        <v>51</v>
      </c>
      <c r="E16" s="6" t="s">
        <v>52</v>
      </c>
      <c r="F16" s="5" t="s">
        <v>56</v>
      </c>
      <c r="G16" s="6" t="s">
        <v>57</v>
      </c>
      <c r="H16" s="5"/>
      <c r="I16" s="4" t="s">
        <v>58</v>
      </c>
      <c r="J16" s="4" t="s">
        <v>26</v>
      </c>
      <c r="K16" s="4" t="s">
        <v>20</v>
      </c>
    </row>
    <row r="17" customFormat="false" ht="21.75" hidden="false" customHeight="true" outlineLevel="0" collapsed="false">
      <c r="A17" s="4" t="n">
        <v>3</v>
      </c>
      <c r="B17" s="4" t="s">
        <v>13</v>
      </c>
      <c r="C17" s="4" t="s">
        <v>50</v>
      </c>
      <c r="D17" s="5" t="s">
        <v>51</v>
      </c>
      <c r="E17" s="6" t="s">
        <v>52</v>
      </c>
      <c r="F17" s="5" t="s">
        <v>59</v>
      </c>
      <c r="G17" s="6" t="s">
        <v>60</v>
      </c>
      <c r="H17" s="5"/>
      <c r="I17" s="4" t="s">
        <v>61</v>
      </c>
      <c r="J17" s="4" t="s">
        <v>26</v>
      </c>
      <c r="K17" s="4" t="s">
        <v>20</v>
      </c>
    </row>
    <row r="18" customFormat="false" ht="21.75" hidden="false" customHeight="true" outlineLevel="0" collapsed="false">
      <c r="A18" s="4" t="n">
        <v>3</v>
      </c>
      <c r="B18" s="4" t="s">
        <v>13</v>
      </c>
      <c r="C18" s="4" t="s">
        <v>50</v>
      </c>
      <c r="D18" s="5" t="s">
        <v>51</v>
      </c>
      <c r="E18" s="6" t="s">
        <v>52</v>
      </c>
      <c r="F18" s="5" t="s">
        <v>62</v>
      </c>
      <c r="G18" s="6" t="s">
        <v>63</v>
      </c>
      <c r="H18" s="5"/>
      <c r="I18" s="4" t="s">
        <v>64</v>
      </c>
      <c r="J18" s="4" t="s">
        <v>26</v>
      </c>
      <c r="K18" s="4" t="s">
        <v>20</v>
      </c>
    </row>
    <row r="19" customFormat="false" ht="21.75" hidden="false" customHeight="true" outlineLevel="0" collapsed="false">
      <c r="A19" s="4" t="n">
        <v>3</v>
      </c>
      <c r="B19" s="4" t="s">
        <v>13</v>
      </c>
      <c r="C19" s="4" t="s">
        <v>50</v>
      </c>
      <c r="D19" s="5" t="s">
        <v>51</v>
      </c>
      <c r="E19" s="6" t="s">
        <v>52</v>
      </c>
      <c r="F19" s="5" t="s">
        <v>65</v>
      </c>
      <c r="G19" s="6" t="s">
        <v>66</v>
      </c>
      <c r="H19" s="5"/>
      <c r="I19" s="4" t="s">
        <v>67</v>
      </c>
      <c r="J19" s="4" t="s">
        <v>26</v>
      </c>
      <c r="K19" s="4" t="s">
        <v>20</v>
      </c>
    </row>
    <row r="20" customFormat="false" ht="21.75" hidden="false" customHeight="true" outlineLevel="0" collapsed="false">
      <c r="A20" s="4" t="n">
        <v>3</v>
      </c>
      <c r="B20" s="4" t="s">
        <v>13</v>
      </c>
      <c r="C20" s="4" t="s">
        <v>50</v>
      </c>
      <c r="D20" s="5" t="s">
        <v>51</v>
      </c>
      <c r="E20" s="6" t="s">
        <v>52</v>
      </c>
      <c r="F20" s="5" t="s">
        <v>68</v>
      </c>
      <c r="G20" s="6" t="s">
        <v>69</v>
      </c>
      <c r="H20" s="5"/>
      <c r="I20" s="4" t="s">
        <v>70</v>
      </c>
      <c r="J20" s="4" t="s">
        <v>26</v>
      </c>
      <c r="K20" s="4" t="s">
        <v>20</v>
      </c>
    </row>
    <row r="21" customFormat="false" ht="21.75" hidden="false" customHeight="true" outlineLevel="0" collapsed="false">
      <c r="A21" s="4" t="n">
        <v>3</v>
      </c>
      <c r="B21" s="4" t="s">
        <v>13</v>
      </c>
      <c r="C21" s="4" t="s">
        <v>50</v>
      </c>
      <c r="D21" s="5" t="s">
        <v>51</v>
      </c>
      <c r="E21" s="6" t="s">
        <v>52</v>
      </c>
      <c r="F21" s="5" t="s">
        <v>71</v>
      </c>
      <c r="G21" s="6" t="s">
        <v>72</v>
      </c>
      <c r="H21" s="5"/>
      <c r="I21" s="4" t="s">
        <v>73</v>
      </c>
      <c r="J21" s="4" t="s">
        <v>26</v>
      </c>
      <c r="K21" s="4" t="s">
        <v>20</v>
      </c>
    </row>
    <row r="22" customFormat="false" ht="21.75" hidden="false" customHeight="true" outlineLevel="0" collapsed="false">
      <c r="A22" s="4" t="n">
        <v>3</v>
      </c>
      <c r="B22" s="4" t="s">
        <v>13</v>
      </c>
      <c r="C22" s="4" t="s">
        <v>50</v>
      </c>
      <c r="D22" s="5" t="s">
        <v>51</v>
      </c>
      <c r="E22" s="6" t="s">
        <v>52</v>
      </c>
      <c r="F22" s="5" t="s">
        <v>74</v>
      </c>
      <c r="G22" s="6" t="s">
        <v>75</v>
      </c>
      <c r="H22" s="5"/>
      <c r="I22" s="4" t="s">
        <v>76</v>
      </c>
      <c r="J22" s="4" t="s">
        <v>26</v>
      </c>
      <c r="K22" s="4" t="s">
        <v>20</v>
      </c>
    </row>
    <row r="23" customFormat="false" ht="21.75" hidden="false" customHeight="true" outlineLevel="0" collapsed="false">
      <c r="A23" s="4" t="n">
        <v>3</v>
      </c>
      <c r="B23" s="4" t="s">
        <v>13</v>
      </c>
      <c r="C23" s="4" t="s">
        <v>50</v>
      </c>
      <c r="D23" s="5" t="s">
        <v>51</v>
      </c>
      <c r="E23" s="6" t="s">
        <v>52</v>
      </c>
      <c r="F23" s="5" t="s">
        <v>77</v>
      </c>
      <c r="G23" s="6" t="s">
        <v>78</v>
      </c>
      <c r="H23" s="5"/>
      <c r="I23" s="4" t="s">
        <v>79</v>
      </c>
      <c r="J23" s="4" t="s">
        <v>26</v>
      </c>
      <c r="K23" s="4" t="s">
        <v>20</v>
      </c>
    </row>
    <row r="24" customFormat="false" ht="21.75" hidden="false" customHeight="true" outlineLevel="0" collapsed="false">
      <c r="A24" s="4" t="n">
        <v>3</v>
      </c>
      <c r="B24" s="4" t="s">
        <v>13</v>
      </c>
      <c r="C24" s="4" t="s">
        <v>50</v>
      </c>
      <c r="D24" s="5" t="s">
        <v>51</v>
      </c>
      <c r="E24" s="6" t="s">
        <v>52</v>
      </c>
      <c r="F24" s="5" t="s">
        <v>80</v>
      </c>
      <c r="G24" s="6" t="s">
        <v>81</v>
      </c>
      <c r="H24" s="5"/>
      <c r="I24" s="4"/>
      <c r="J24" s="4" t="s">
        <v>19</v>
      </c>
      <c r="K24" s="4" t="s">
        <v>20</v>
      </c>
    </row>
    <row r="25" customFormat="false" ht="21.75" hidden="false" customHeight="true" outlineLevel="0" collapsed="false">
      <c r="A25" s="7" t="n">
        <v>4</v>
      </c>
      <c r="B25" s="7" t="s">
        <v>13</v>
      </c>
      <c r="C25" s="7" t="s">
        <v>82</v>
      </c>
      <c r="D25" s="8" t="s">
        <v>83</v>
      </c>
      <c r="E25" s="9" t="s">
        <v>84</v>
      </c>
      <c r="F25" s="8" t="s">
        <v>85</v>
      </c>
      <c r="G25" s="9" t="s">
        <v>86</v>
      </c>
      <c r="H25" s="8"/>
      <c r="I25" s="7"/>
      <c r="J25" s="7" t="s">
        <v>26</v>
      </c>
      <c r="K25" s="7" t="s">
        <v>20</v>
      </c>
    </row>
    <row r="26" customFormat="false" ht="21.75" hidden="false" customHeight="true" outlineLevel="0" collapsed="false">
      <c r="A26" s="7" t="n">
        <v>4</v>
      </c>
      <c r="B26" s="7" t="s">
        <v>13</v>
      </c>
      <c r="C26" s="7" t="s">
        <v>82</v>
      </c>
      <c r="D26" s="8" t="s">
        <v>83</v>
      </c>
      <c r="E26" s="9" t="s">
        <v>84</v>
      </c>
      <c r="F26" s="8" t="s">
        <v>87</v>
      </c>
      <c r="G26" s="9" t="s">
        <v>88</v>
      </c>
      <c r="H26" s="8"/>
      <c r="I26" s="7" t="s">
        <v>89</v>
      </c>
      <c r="J26" s="7" t="s">
        <v>26</v>
      </c>
      <c r="K26" s="7" t="s">
        <v>20</v>
      </c>
    </row>
    <row r="27" customFormat="false" ht="21.75" hidden="false" customHeight="true" outlineLevel="0" collapsed="false">
      <c r="A27" s="7" t="n">
        <v>4</v>
      </c>
      <c r="B27" s="7" t="s">
        <v>13</v>
      </c>
      <c r="C27" s="7" t="s">
        <v>82</v>
      </c>
      <c r="D27" s="8" t="s">
        <v>83</v>
      </c>
      <c r="E27" s="9" t="s">
        <v>84</v>
      </c>
      <c r="F27" s="8" t="s">
        <v>90</v>
      </c>
      <c r="G27" s="9" t="s">
        <v>91</v>
      </c>
      <c r="H27" s="8"/>
      <c r="I27" s="7"/>
      <c r="J27" s="7" t="s">
        <v>26</v>
      </c>
      <c r="K27" s="7" t="s">
        <v>20</v>
      </c>
    </row>
    <row r="28" customFormat="false" ht="21.75" hidden="false" customHeight="true" outlineLevel="0" collapsed="false">
      <c r="A28" s="7" t="n">
        <v>4</v>
      </c>
      <c r="B28" s="7" t="s">
        <v>13</v>
      </c>
      <c r="C28" s="7" t="s">
        <v>82</v>
      </c>
      <c r="D28" s="8" t="s">
        <v>83</v>
      </c>
      <c r="E28" s="9" t="s">
        <v>84</v>
      </c>
      <c r="F28" s="8" t="s">
        <v>92</v>
      </c>
      <c r="G28" s="9" t="s">
        <v>93</v>
      </c>
      <c r="H28" s="8"/>
      <c r="I28" s="7" t="s">
        <v>94</v>
      </c>
      <c r="J28" s="7" t="s">
        <v>19</v>
      </c>
      <c r="K28" s="7" t="s">
        <v>20</v>
      </c>
    </row>
    <row r="29" customFormat="false" ht="21.75" hidden="false" customHeight="true" outlineLevel="0" collapsed="false">
      <c r="A29" s="7" t="n">
        <v>4</v>
      </c>
      <c r="B29" s="7" t="s">
        <v>13</v>
      </c>
      <c r="C29" s="7" t="s">
        <v>82</v>
      </c>
      <c r="D29" s="8" t="s">
        <v>83</v>
      </c>
      <c r="E29" s="9" t="s">
        <v>84</v>
      </c>
      <c r="F29" s="8" t="s">
        <v>95</v>
      </c>
      <c r="G29" s="9" t="s">
        <v>96</v>
      </c>
      <c r="H29" s="8"/>
      <c r="I29" s="7" t="s">
        <v>97</v>
      </c>
      <c r="J29" s="7" t="s">
        <v>26</v>
      </c>
      <c r="K29" s="7" t="s">
        <v>20</v>
      </c>
    </row>
    <row r="30" customFormat="false" ht="21.75" hidden="false" customHeight="true" outlineLevel="0" collapsed="false">
      <c r="A30" s="7" t="n">
        <v>4</v>
      </c>
      <c r="B30" s="7" t="s">
        <v>13</v>
      </c>
      <c r="C30" s="7" t="s">
        <v>82</v>
      </c>
      <c r="D30" s="8" t="s">
        <v>83</v>
      </c>
      <c r="E30" s="9" t="s">
        <v>84</v>
      </c>
      <c r="F30" s="8" t="s">
        <v>98</v>
      </c>
      <c r="G30" s="9" t="s">
        <v>99</v>
      </c>
      <c r="H30" s="8"/>
      <c r="I30" s="7" t="s">
        <v>100</v>
      </c>
      <c r="J30" s="7" t="s">
        <v>26</v>
      </c>
      <c r="K30" s="7" t="s">
        <v>20</v>
      </c>
    </row>
    <row r="31" customFormat="false" ht="21.75" hidden="false" customHeight="true" outlineLevel="0" collapsed="false">
      <c r="A31" s="4" t="n">
        <v>5</v>
      </c>
      <c r="B31" s="4" t="s">
        <v>13</v>
      </c>
      <c r="C31" s="4" t="s">
        <v>101</v>
      </c>
      <c r="D31" s="5" t="s">
        <v>102</v>
      </c>
      <c r="E31" s="6" t="s">
        <v>103</v>
      </c>
      <c r="F31" s="5" t="s">
        <v>104</v>
      </c>
      <c r="G31" s="6" t="s">
        <v>105</v>
      </c>
      <c r="H31" s="5"/>
      <c r="I31" s="4"/>
      <c r="J31" s="4" t="s">
        <v>19</v>
      </c>
      <c r="K31" s="4" t="s">
        <v>20</v>
      </c>
    </row>
    <row r="32" customFormat="false" ht="21.75" hidden="false" customHeight="true" outlineLevel="0" collapsed="false">
      <c r="A32" s="4" t="n">
        <v>5</v>
      </c>
      <c r="B32" s="4" t="s">
        <v>13</v>
      </c>
      <c r="C32" s="4" t="s">
        <v>101</v>
      </c>
      <c r="D32" s="5" t="s">
        <v>102</v>
      </c>
      <c r="E32" s="6" t="s">
        <v>103</v>
      </c>
      <c r="F32" s="5" t="s">
        <v>106</v>
      </c>
      <c r="G32" s="6" t="s">
        <v>107</v>
      </c>
      <c r="H32" s="5"/>
      <c r="I32" s="4"/>
      <c r="J32" s="4" t="s">
        <v>26</v>
      </c>
      <c r="K32" s="4" t="s">
        <v>20</v>
      </c>
    </row>
    <row r="33" customFormat="false" ht="21.75" hidden="false" customHeight="true" outlineLevel="0" collapsed="false">
      <c r="A33" s="4" t="n">
        <v>5</v>
      </c>
      <c r="B33" s="4" t="s">
        <v>13</v>
      </c>
      <c r="C33" s="4" t="s">
        <v>101</v>
      </c>
      <c r="D33" s="5" t="s">
        <v>102</v>
      </c>
      <c r="E33" s="6" t="s">
        <v>103</v>
      </c>
      <c r="F33" s="5" t="s">
        <v>108</v>
      </c>
      <c r="G33" s="6" t="s">
        <v>109</v>
      </c>
      <c r="H33" s="5"/>
      <c r="I33" s="4"/>
      <c r="J33" s="4" t="s">
        <v>19</v>
      </c>
      <c r="K33" s="4" t="s">
        <v>20</v>
      </c>
    </row>
    <row r="34" customFormat="false" ht="21.75" hidden="false" customHeight="true" outlineLevel="0" collapsed="false">
      <c r="A34" s="4" t="n">
        <v>5</v>
      </c>
      <c r="B34" s="4" t="s">
        <v>13</v>
      </c>
      <c r="C34" s="4" t="s">
        <v>101</v>
      </c>
      <c r="D34" s="5" t="s">
        <v>102</v>
      </c>
      <c r="E34" s="6" t="s">
        <v>103</v>
      </c>
      <c r="F34" s="5" t="s">
        <v>110</v>
      </c>
      <c r="G34" s="6" t="s">
        <v>111</v>
      </c>
      <c r="H34" s="5"/>
      <c r="I34" s="4"/>
      <c r="J34" s="4" t="s">
        <v>19</v>
      </c>
      <c r="K34" s="4" t="s">
        <v>20</v>
      </c>
    </row>
    <row r="35" customFormat="false" ht="21.75" hidden="false" customHeight="true" outlineLevel="0" collapsed="false">
      <c r="A35" s="4" t="n">
        <v>5</v>
      </c>
      <c r="B35" s="4" t="s">
        <v>13</v>
      </c>
      <c r="C35" s="4" t="s">
        <v>101</v>
      </c>
      <c r="D35" s="5" t="s">
        <v>102</v>
      </c>
      <c r="E35" s="6" t="s">
        <v>103</v>
      </c>
      <c r="F35" s="5" t="s">
        <v>112</v>
      </c>
      <c r="G35" s="6" t="s">
        <v>113</v>
      </c>
      <c r="H35" s="5"/>
      <c r="I35" s="4" t="s">
        <v>114</v>
      </c>
      <c r="J35" s="4" t="s">
        <v>19</v>
      </c>
      <c r="K35" s="4" t="s">
        <v>20</v>
      </c>
    </row>
    <row r="36" customFormat="false" ht="21.75" hidden="false" customHeight="true" outlineLevel="0" collapsed="false">
      <c r="A36" s="7" t="n">
        <v>6</v>
      </c>
      <c r="B36" s="7" t="s">
        <v>115</v>
      </c>
      <c r="C36" s="7" t="s">
        <v>14</v>
      </c>
      <c r="D36" s="8" t="s">
        <v>116</v>
      </c>
      <c r="E36" s="9" t="s">
        <v>117</v>
      </c>
      <c r="F36" s="8" t="s">
        <v>118</v>
      </c>
      <c r="G36" s="9" t="s">
        <v>119</v>
      </c>
      <c r="H36" s="8"/>
      <c r="I36" s="7"/>
      <c r="J36" s="7" t="s">
        <v>19</v>
      </c>
      <c r="K36" s="7" t="s">
        <v>20</v>
      </c>
    </row>
    <row r="37" customFormat="false" ht="21.75" hidden="false" customHeight="true" outlineLevel="0" collapsed="false">
      <c r="A37" s="7" t="n">
        <v>6</v>
      </c>
      <c r="B37" s="7" t="s">
        <v>115</v>
      </c>
      <c r="C37" s="7" t="s">
        <v>14</v>
      </c>
      <c r="D37" s="8" t="s">
        <v>116</v>
      </c>
      <c r="E37" s="9" t="s">
        <v>117</v>
      </c>
      <c r="F37" s="8" t="s">
        <v>120</v>
      </c>
      <c r="G37" s="9" t="s">
        <v>121</v>
      </c>
      <c r="H37" s="8"/>
      <c r="I37" s="7" t="s">
        <v>122</v>
      </c>
      <c r="J37" s="7" t="s">
        <v>26</v>
      </c>
      <c r="K37" s="7" t="s">
        <v>20</v>
      </c>
    </row>
    <row r="38" customFormat="false" ht="21.75" hidden="false" customHeight="true" outlineLevel="0" collapsed="false">
      <c r="A38" s="7" t="n">
        <v>6</v>
      </c>
      <c r="B38" s="7" t="s">
        <v>115</v>
      </c>
      <c r="C38" s="7" t="s">
        <v>14</v>
      </c>
      <c r="D38" s="8" t="s">
        <v>116</v>
      </c>
      <c r="E38" s="9" t="s">
        <v>117</v>
      </c>
      <c r="F38" s="8" t="s">
        <v>123</v>
      </c>
      <c r="G38" s="9" t="s">
        <v>124</v>
      </c>
      <c r="H38" s="8"/>
      <c r="I38" s="7" t="s">
        <v>125</v>
      </c>
      <c r="J38" s="7" t="s">
        <v>26</v>
      </c>
      <c r="K38" s="7" t="s">
        <v>20</v>
      </c>
    </row>
    <row r="39" customFormat="false" ht="21.75" hidden="false" customHeight="true" outlineLevel="0" collapsed="false">
      <c r="A39" s="7" t="n">
        <v>6</v>
      </c>
      <c r="B39" s="7" t="s">
        <v>115</v>
      </c>
      <c r="C39" s="7" t="s">
        <v>14</v>
      </c>
      <c r="D39" s="8" t="s">
        <v>116</v>
      </c>
      <c r="E39" s="9" t="s">
        <v>117</v>
      </c>
      <c r="F39" s="8" t="s">
        <v>126</v>
      </c>
      <c r="G39" s="9" t="s">
        <v>127</v>
      </c>
      <c r="H39" s="8"/>
      <c r="I39" s="7" t="s">
        <v>128</v>
      </c>
      <c r="J39" s="7" t="s">
        <v>19</v>
      </c>
      <c r="K39" s="7" t="s">
        <v>20</v>
      </c>
    </row>
    <row r="40" customFormat="false" ht="21.75" hidden="false" customHeight="true" outlineLevel="0" collapsed="false">
      <c r="A40" s="7" t="n">
        <v>6</v>
      </c>
      <c r="B40" s="7" t="s">
        <v>115</v>
      </c>
      <c r="C40" s="7" t="s">
        <v>14</v>
      </c>
      <c r="D40" s="8" t="s">
        <v>116</v>
      </c>
      <c r="E40" s="9" t="s">
        <v>117</v>
      </c>
      <c r="F40" s="8" t="s">
        <v>129</v>
      </c>
      <c r="G40" s="9" t="s">
        <v>130</v>
      </c>
      <c r="H40" s="8"/>
      <c r="I40" s="7" t="s">
        <v>131</v>
      </c>
      <c r="J40" s="7" t="s">
        <v>26</v>
      </c>
      <c r="K40" s="7" t="s">
        <v>20</v>
      </c>
    </row>
    <row r="41" customFormat="false" ht="21.75" hidden="false" customHeight="true" outlineLevel="0" collapsed="false">
      <c r="A41" s="4" t="n">
        <v>7</v>
      </c>
      <c r="B41" s="4" t="s">
        <v>115</v>
      </c>
      <c r="C41" s="4" t="s">
        <v>36</v>
      </c>
      <c r="D41" s="5" t="s">
        <v>116</v>
      </c>
      <c r="E41" s="6" t="s">
        <v>132</v>
      </c>
      <c r="F41" s="5" t="s">
        <v>133</v>
      </c>
      <c r="G41" s="6" t="s">
        <v>134</v>
      </c>
      <c r="H41" s="5"/>
      <c r="I41" s="4" t="s">
        <v>135</v>
      </c>
      <c r="J41" s="4" t="s">
        <v>26</v>
      </c>
      <c r="K41" s="4" t="s">
        <v>20</v>
      </c>
    </row>
    <row r="42" customFormat="false" ht="21.75" hidden="false" customHeight="true" outlineLevel="0" collapsed="false">
      <c r="A42" s="4" t="n">
        <v>7</v>
      </c>
      <c r="B42" s="4" t="s">
        <v>115</v>
      </c>
      <c r="C42" s="4" t="s">
        <v>36</v>
      </c>
      <c r="D42" s="5" t="s">
        <v>116</v>
      </c>
      <c r="E42" s="6" t="s">
        <v>132</v>
      </c>
      <c r="F42" s="5" t="s">
        <v>136</v>
      </c>
      <c r="G42" s="6" t="s">
        <v>137</v>
      </c>
      <c r="H42" s="5"/>
      <c r="I42" s="4" t="s">
        <v>138</v>
      </c>
      <c r="J42" s="4" t="s">
        <v>26</v>
      </c>
      <c r="K42" s="4" t="s">
        <v>20</v>
      </c>
    </row>
    <row r="43" customFormat="false" ht="21.75" hidden="false" customHeight="true" outlineLevel="0" collapsed="false">
      <c r="A43" s="4" t="n">
        <v>7</v>
      </c>
      <c r="B43" s="4" t="s">
        <v>115</v>
      </c>
      <c r="C43" s="4" t="s">
        <v>36</v>
      </c>
      <c r="D43" s="5" t="s">
        <v>116</v>
      </c>
      <c r="E43" s="6" t="s">
        <v>132</v>
      </c>
      <c r="F43" s="5" t="s">
        <v>139</v>
      </c>
      <c r="G43" s="6" t="s">
        <v>140</v>
      </c>
      <c r="H43" s="5"/>
      <c r="I43" s="4" t="s">
        <v>141</v>
      </c>
      <c r="J43" s="4" t="s">
        <v>19</v>
      </c>
      <c r="K43" s="4" t="s">
        <v>20</v>
      </c>
    </row>
    <row r="44" customFormat="false" ht="21.75" hidden="false" customHeight="true" outlineLevel="0" collapsed="false">
      <c r="A44" s="4" t="n">
        <v>7</v>
      </c>
      <c r="B44" s="4" t="s">
        <v>115</v>
      </c>
      <c r="C44" s="4" t="s">
        <v>36</v>
      </c>
      <c r="D44" s="5" t="s">
        <v>116</v>
      </c>
      <c r="E44" s="6" t="s">
        <v>132</v>
      </c>
      <c r="F44" s="5" t="s">
        <v>142</v>
      </c>
      <c r="G44" s="6" t="s">
        <v>143</v>
      </c>
      <c r="H44" s="5"/>
      <c r="I44" s="4" t="s">
        <v>144</v>
      </c>
      <c r="J44" s="4" t="s">
        <v>19</v>
      </c>
      <c r="K44" s="4" t="s">
        <v>20</v>
      </c>
    </row>
    <row r="45" customFormat="false" ht="21.75" hidden="false" customHeight="true" outlineLevel="0" collapsed="false">
      <c r="A45" s="7" t="n">
        <v>8</v>
      </c>
      <c r="B45" s="7" t="s">
        <v>145</v>
      </c>
      <c r="C45" s="7" t="s">
        <v>14</v>
      </c>
      <c r="D45" s="8" t="s">
        <v>146</v>
      </c>
      <c r="E45" s="9" t="s">
        <v>147</v>
      </c>
      <c r="F45" s="8" t="s">
        <v>148</v>
      </c>
      <c r="G45" s="9" t="s">
        <v>149</v>
      </c>
      <c r="H45" s="8" t="s">
        <v>23</v>
      </c>
      <c r="I45" s="7" t="s">
        <v>25</v>
      </c>
      <c r="J45" s="7" t="s">
        <v>26</v>
      </c>
      <c r="K45" s="7" t="s">
        <v>20</v>
      </c>
    </row>
    <row r="46" customFormat="false" ht="21.75" hidden="false" customHeight="true" outlineLevel="0" collapsed="false">
      <c r="A46" s="7" t="n">
        <v>8</v>
      </c>
      <c r="B46" s="7" t="s">
        <v>145</v>
      </c>
      <c r="C46" s="7" t="s">
        <v>14</v>
      </c>
      <c r="D46" s="8" t="s">
        <v>146</v>
      </c>
      <c r="E46" s="9" t="s">
        <v>147</v>
      </c>
      <c r="F46" s="8" t="s">
        <v>150</v>
      </c>
      <c r="G46" s="9" t="s">
        <v>151</v>
      </c>
      <c r="H46" s="8" t="s">
        <v>27</v>
      </c>
      <c r="I46" s="7" t="s">
        <v>29</v>
      </c>
      <c r="J46" s="7" t="s">
        <v>26</v>
      </c>
      <c r="K46" s="7" t="s">
        <v>20</v>
      </c>
    </row>
    <row r="47" customFormat="false" ht="21.75" hidden="false" customHeight="true" outlineLevel="0" collapsed="false">
      <c r="A47" s="7" t="n">
        <v>8</v>
      </c>
      <c r="B47" s="7" t="s">
        <v>145</v>
      </c>
      <c r="C47" s="7" t="s">
        <v>14</v>
      </c>
      <c r="D47" s="8" t="s">
        <v>146</v>
      </c>
      <c r="E47" s="9" t="s">
        <v>147</v>
      </c>
      <c r="F47" s="8" t="s">
        <v>152</v>
      </c>
      <c r="G47" s="9" t="s">
        <v>153</v>
      </c>
      <c r="H47" s="8" t="s">
        <v>38</v>
      </c>
      <c r="I47" s="7" t="s">
        <v>40</v>
      </c>
      <c r="J47" s="7" t="s">
        <v>26</v>
      </c>
      <c r="K47" s="7" t="s">
        <v>20</v>
      </c>
    </row>
    <row r="48" customFormat="false" ht="21.75" hidden="false" customHeight="true" outlineLevel="0" collapsed="false">
      <c r="A48" s="7" t="n">
        <v>8</v>
      </c>
      <c r="B48" s="7" t="s">
        <v>145</v>
      </c>
      <c r="C48" s="7" t="s">
        <v>14</v>
      </c>
      <c r="D48" s="8" t="s">
        <v>146</v>
      </c>
      <c r="E48" s="9" t="s">
        <v>147</v>
      </c>
      <c r="F48" s="8" t="s">
        <v>154</v>
      </c>
      <c r="G48" s="9" t="s">
        <v>155</v>
      </c>
      <c r="H48" s="8" t="s">
        <v>33</v>
      </c>
      <c r="I48" s="7" t="s">
        <v>35</v>
      </c>
      <c r="J48" s="7" t="s">
        <v>26</v>
      </c>
      <c r="K48" s="7" t="s">
        <v>20</v>
      </c>
    </row>
    <row r="49" customFormat="false" ht="21.75" hidden="false" customHeight="true" outlineLevel="0" collapsed="false">
      <c r="A49" s="7" t="n">
        <v>8</v>
      </c>
      <c r="B49" s="7" t="s">
        <v>145</v>
      </c>
      <c r="C49" s="7" t="s">
        <v>14</v>
      </c>
      <c r="D49" s="8" t="s">
        <v>146</v>
      </c>
      <c r="E49" s="9" t="s">
        <v>147</v>
      </c>
      <c r="F49" s="8" t="s">
        <v>106</v>
      </c>
      <c r="G49" s="9" t="s">
        <v>107</v>
      </c>
      <c r="H49" s="8"/>
      <c r="I49" s="7"/>
      <c r="J49" s="7"/>
      <c r="K49" s="7" t="s">
        <v>156</v>
      </c>
    </row>
    <row r="50" customFormat="false" ht="21.75" hidden="false" customHeight="true" outlineLevel="0" collapsed="false">
      <c r="A50" s="7" t="n">
        <v>8</v>
      </c>
      <c r="B50" s="7" t="s">
        <v>145</v>
      </c>
      <c r="C50" s="7" t="s">
        <v>14</v>
      </c>
      <c r="D50" s="8" t="s">
        <v>146</v>
      </c>
      <c r="E50" s="9" t="s">
        <v>147</v>
      </c>
      <c r="F50" s="8" t="s">
        <v>157</v>
      </c>
      <c r="G50" s="9" t="s">
        <v>158</v>
      </c>
      <c r="H50" s="8"/>
      <c r="I50" s="7"/>
      <c r="J50" s="7"/>
      <c r="K50" s="7" t="s">
        <v>156</v>
      </c>
    </row>
    <row r="51" customFormat="false" ht="21.75" hidden="false" customHeight="true" outlineLevel="0" collapsed="false">
      <c r="A51" s="7" t="n">
        <v>8</v>
      </c>
      <c r="B51" s="7" t="s">
        <v>145</v>
      </c>
      <c r="C51" s="7" t="s">
        <v>14</v>
      </c>
      <c r="D51" s="8" t="s">
        <v>146</v>
      </c>
      <c r="E51" s="9" t="s">
        <v>147</v>
      </c>
      <c r="F51" s="8" t="s">
        <v>159</v>
      </c>
      <c r="G51" s="9" t="s">
        <v>160</v>
      </c>
      <c r="H51" s="8"/>
      <c r="I51" s="7"/>
      <c r="J51" s="7"/>
      <c r="K51" s="7" t="s">
        <v>156</v>
      </c>
    </row>
    <row r="52" customFormat="false" ht="21.75" hidden="false" customHeight="true" outlineLevel="0" collapsed="false">
      <c r="A52" s="7" t="n">
        <v>8</v>
      </c>
      <c r="B52" s="7" t="s">
        <v>145</v>
      </c>
      <c r="C52" s="7" t="s">
        <v>14</v>
      </c>
      <c r="D52" s="8" t="s">
        <v>146</v>
      </c>
      <c r="E52" s="9" t="s">
        <v>147</v>
      </c>
      <c r="F52" s="8" t="s">
        <v>161</v>
      </c>
      <c r="G52" s="9" t="s">
        <v>162</v>
      </c>
      <c r="H52" s="8"/>
      <c r="I52" s="7"/>
      <c r="J52" s="7"/>
      <c r="K52" s="7" t="s">
        <v>156</v>
      </c>
    </row>
    <row r="53" customFormat="false" ht="21.75" hidden="false" customHeight="true" outlineLevel="0" collapsed="false">
      <c r="A53" s="4" t="n">
        <v>9</v>
      </c>
      <c r="B53" s="4" t="s">
        <v>145</v>
      </c>
      <c r="C53" s="4" t="s">
        <v>36</v>
      </c>
      <c r="D53" s="5" t="s">
        <v>163</v>
      </c>
      <c r="E53" s="6" t="s">
        <v>164</v>
      </c>
      <c r="F53" s="5" t="s">
        <v>165</v>
      </c>
      <c r="G53" s="6" t="s">
        <v>166</v>
      </c>
      <c r="H53" s="5" t="s">
        <v>167</v>
      </c>
      <c r="I53" s="4" t="s">
        <v>168</v>
      </c>
      <c r="J53" s="4" t="s">
        <v>26</v>
      </c>
      <c r="K53" s="4" t="s">
        <v>20</v>
      </c>
    </row>
    <row r="54" customFormat="false" ht="21.75" hidden="false" customHeight="true" outlineLevel="0" collapsed="false">
      <c r="A54" s="4" t="n">
        <v>9</v>
      </c>
      <c r="B54" s="4" t="s">
        <v>145</v>
      </c>
      <c r="C54" s="4" t="s">
        <v>36</v>
      </c>
      <c r="D54" s="5" t="s">
        <v>163</v>
      </c>
      <c r="E54" s="6" t="s">
        <v>164</v>
      </c>
      <c r="F54" s="5" t="s">
        <v>169</v>
      </c>
      <c r="G54" s="6" t="s">
        <v>170</v>
      </c>
      <c r="H54" s="5" t="s">
        <v>136</v>
      </c>
      <c r="I54" s="4" t="s">
        <v>138</v>
      </c>
      <c r="J54" s="4" t="s">
        <v>26</v>
      </c>
      <c r="K54" s="4" t="s">
        <v>20</v>
      </c>
    </row>
    <row r="55" customFormat="false" ht="21.75" hidden="false" customHeight="true" outlineLevel="0" collapsed="false">
      <c r="A55" s="4" t="n">
        <v>9</v>
      </c>
      <c r="B55" s="4" t="s">
        <v>145</v>
      </c>
      <c r="C55" s="4" t="s">
        <v>36</v>
      </c>
      <c r="D55" s="5" t="s">
        <v>163</v>
      </c>
      <c r="E55" s="6" t="s">
        <v>164</v>
      </c>
      <c r="F55" s="5" t="s">
        <v>171</v>
      </c>
      <c r="G55" s="6" t="s">
        <v>172</v>
      </c>
      <c r="H55" s="5" t="s">
        <v>44</v>
      </c>
      <c r="I55" s="4" t="s">
        <v>46</v>
      </c>
      <c r="J55" s="4" t="s">
        <v>26</v>
      </c>
      <c r="K55" s="4" t="s">
        <v>20</v>
      </c>
    </row>
    <row r="56" customFormat="false" ht="21.75" hidden="false" customHeight="true" outlineLevel="0" collapsed="false">
      <c r="A56" s="4" t="n">
        <v>9</v>
      </c>
      <c r="B56" s="4" t="s">
        <v>145</v>
      </c>
      <c r="C56" s="4" t="s">
        <v>36</v>
      </c>
      <c r="D56" s="5" t="s">
        <v>163</v>
      </c>
      <c r="E56" s="6" t="s">
        <v>164</v>
      </c>
      <c r="F56" s="5" t="s">
        <v>173</v>
      </c>
      <c r="G56" s="6" t="s">
        <v>174</v>
      </c>
      <c r="H56" s="5" t="s">
        <v>139</v>
      </c>
      <c r="I56" s="4" t="s">
        <v>141</v>
      </c>
      <c r="J56" s="4" t="s">
        <v>19</v>
      </c>
      <c r="K56" s="4" t="s">
        <v>20</v>
      </c>
    </row>
    <row r="57" customFormat="false" ht="21.75" hidden="false" customHeight="true" outlineLevel="0" collapsed="false">
      <c r="A57" s="4" t="n">
        <v>9</v>
      </c>
      <c r="B57" s="4" t="s">
        <v>145</v>
      </c>
      <c r="C57" s="4" t="s">
        <v>36</v>
      </c>
      <c r="D57" s="5" t="s">
        <v>163</v>
      </c>
      <c r="E57" s="6" t="s">
        <v>164</v>
      </c>
      <c r="F57" s="5" t="s">
        <v>175</v>
      </c>
      <c r="G57" s="6" t="s">
        <v>176</v>
      </c>
      <c r="H57" s="5"/>
      <c r="I57" s="4"/>
      <c r="J57" s="4"/>
      <c r="K57" s="4" t="s">
        <v>156</v>
      </c>
    </row>
    <row r="58" customFormat="false" ht="21.75" hidden="false" customHeight="true" outlineLevel="0" collapsed="false">
      <c r="A58" s="4" t="n">
        <v>9</v>
      </c>
      <c r="B58" s="4" t="s">
        <v>145</v>
      </c>
      <c r="C58" s="4" t="s">
        <v>36</v>
      </c>
      <c r="D58" s="5" t="s">
        <v>163</v>
      </c>
      <c r="E58" s="6" t="s">
        <v>164</v>
      </c>
      <c r="F58" s="5" t="s">
        <v>177</v>
      </c>
      <c r="G58" s="6" t="s">
        <v>178</v>
      </c>
      <c r="H58" s="5"/>
      <c r="I58" s="4"/>
      <c r="J58" s="4"/>
      <c r="K58" s="4" t="s">
        <v>156</v>
      </c>
    </row>
    <row r="59" customFormat="false" ht="21.75" hidden="false" customHeight="true" outlineLevel="0" collapsed="false">
      <c r="A59" s="4" t="n">
        <v>9</v>
      </c>
      <c r="B59" s="4" t="s">
        <v>145</v>
      </c>
      <c r="C59" s="4" t="s">
        <v>36</v>
      </c>
      <c r="D59" s="5" t="s">
        <v>163</v>
      </c>
      <c r="E59" s="6" t="s">
        <v>164</v>
      </c>
      <c r="F59" s="5" t="s">
        <v>179</v>
      </c>
      <c r="G59" s="6" t="s">
        <v>180</v>
      </c>
      <c r="H59" s="5"/>
      <c r="I59" s="4"/>
      <c r="J59" s="4"/>
      <c r="K59" s="4" t="s">
        <v>156</v>
      </c>
    </row>
    <row r="60" customFormat="false" ht="21.75" hidden="false" customHeight="true" outlineLevel="0" collapsed="false">
      <c r="A60" s="7" t="n">
        <v>10</v>
      </c>
      <c r="B60" s="7" t="s">
        <v>181</v>
      </c>
      <c r="C60" s="7" t="s">
        <v>14</v>
      </c>
      <c r="D60" s="8" t="s">
        <v>182</v>
      </c>
      <c r="E60" s="9" t="s">
        <v>183</v>
      </c>
      <c r="F60" s="8" t="s">
        <v>184</v>
      </c>
      <c r="G60" s="9" t="s">
        <v>185</v>
      </c>
      <c r="H60" s="8"/>
      <c r="I60" s="7" t="s">
        <v>186</v>
      </c>
      <c r="J60" s="7" t="s">
        <v>26</v>
      </c>
      <c r="K60" s="7" t="s">
        <v>20</v>
      </c>
    </row>
    <row r="61" customFormat="false" ht="21.75" hidden="false" customHeight="true" outlineLevel="0" collapsed="false">
      <c r="A61" s="7" t="n">
        <v>10</v>
      </c>
      <c r="B61" s="7" t="s">
        <v>181</v>
      </c>
      <c r="C61" s="7" t="s">
        <v>14</v>
      </c>
      <c r="D61" s="8" t="s">
        <v>182</v>
      </c>
      <c r="E61" s="9" t="s">
        <v>183</v>
      </c>
      <c r="F61" s="8" t="s">
        <v>187</v>
      </c>
      <c r="G61" s="9" t="s">
        <v>188</v>
      </c>
      <c r="H61" s="8"/>
      <c r="I61" s="7" t="s">
        <v>189</v>
      </c>
      <c r="J61" s="7" t="s">
        <v>26</v>
      </c>
      <c r="K61" s="7" t="s">
        <v>20</v>
      </c>
    </row>
    <row r="62" customFormat="false" ht="21.75" hidden="false" customHeight="true" outlineLevel="0" collapsed="false">
      <c r="A62" s="7" t="n">
        <v>10</v>
      </c>
      <c r="B62" s="7" t="s">
        <v>181</v>
      </c>
      <c r="C62" s="7" t="s">
        <v>14</v>
      </c>
      <c r="D62" s="8" t="s">
        <v>182</v>
      </c>
      <c r="E62" s="9" t="s">
        <v>183</v>
      </c>
      <c r="F62" s="8" t="s">
        <v>190</v>
      </c>
      <c r="G62" s="9" t="s">
        <v>191</v>
      </c>
      <c r="H62" s="8"/>
      <c r="I62" s="7" t="s">
        <v>192</v>
      </c>
      <c r="J62" s="7" t="s">
        <v>26</v>
      </c>
      <c r="K62" s="7" t="s">
        <v>20</v>
      </c>
    </row>
    <row r="63" customFormat="false" ht="21.75" hidden="false" customHeight="true" outlineLevel="0" collapsed="false">
      <c r="A63" s="7" t="n">
        <v>10</v>
      </c>
      <c r="B63" s="7" t="s">
        <v>181</v>
      </c>
      <c r="C63" s="7" t="s">
        <v>14</v>
      </c>
      <c r="D63" s="8" t="s">
        <v>182</v>
      </c>
      <c r="E63" s="9" t="s">
        <v>183</v>
      </c>
      <c r="F63" s="8" t="s">
        <v>193</v>
      </c>
      <c r="G63" s="9" t="s">
        <v>194</v>
      </c>
      <c r="H63" s="8"/>
      <c r="I63" s="7" t="s">
        <v>195</v>
      </c>
      <c r="J63" s="7" t="s">
        <v>26</v>
      </c>
      <c r="K63" s="7" t="s">
        <v>20</v>
      </c>
    </row>
    <row r="64" customFormat="false" ht="21.75" hidden="false" customHeight="true" outlineLevel="0" collapsed="false">
      <c r="A64" s="4" t="n">
        <v>11</v>
      </c>
      <c r="B64" s="4" t="s">
        <v>181</v>
      </c>
      <c r="C64" s="4" t="s">
        <v>36</v>
      </c>
      <c r="D64" s="5" t="s">
        <v>196</v>
      </c>
      <c r="E64" s="6" t="s">
        <v>197</v>
      </c>
      <c r="F64" s="5" t="s">
        <v>198</v>
      </c>
      <c r="G64" s="6" t="s">
        <v>199</v>
      </c>
      <c r="H64" s="5"/>
      <c r="I64" s="4"/>
      <c r="J64" s="4" t="s">
        <v>26</v>
      </c>
      <c r="K64" s="4" t="s">
        <v>20</v>
      </c>
    </row>
    <row r="65" customFormat="false" ht="21.75" hidden="false" customHeight="true" outlineLevel="0" collapsed="false">
      <c r="A65" s="4" t="n">
        <v>11</v>
      </c>
      <c r="B65" s="4" t="s">
        <v>181</v>
      </c>
      <c r="C65" s="4" t="s">
        <v>36</v>
      </c>
      <c r="D65" s="5" t="s">
        <v>196</v>
      </c>
      <c r="E65" s="6" t="s">
        <v>197</v>
      </c>
      <c r="F65" s="5" t="s">
        <v>200</v>
      </c>
      <c r="G65" s="6" t="s">
        <v>201</v>
      </c>
      <c r="H65" s="5"/>
      <c r="I65" s="4"/>
      <c r="J65" s="4" t="s">
        <v>19</v>
      </c>
      <c r="K65" s="4" t="s">
        <v>20</v>
      </c>
    </row>
    <row r="66" customFormat="false" ht="21.75" hidden="false" customHeight="true" outlineLevel="0" collapsed="false">
      <c r="A66" s="4" t="n">
        <v>11</v>
      </c>
      <c r="B66" s="4" t="s">
        <v>181</v>
      </c>
      <c r="C66" s="4" t="s">
        <v>36</v>
      </c>
      <c r="D66" s="5" t="s">
        <v>196</v>
      </c>
      <c r="E66" s="6" t="s">
        <v>197</v>
      </c>
      <c r="F66" s="5" t="s">
        <v>202</v>
      </c>
      <c r="G66" s="6" t="s">
        <v>203</v>
      </c>
      <c r="H66" s="5"/>
      <c r="I66" s="4"/>
      <c r="J66" s="4" t="s">
        <v>19</v>
      </c>
      <c r="K66" s="4" t="s">
        <v>20</v>
      </c>
    </row>
    <row r="67" customFormat="false" ht="21.75" hidden="false" customHeight="true" outlineLevel="0" collapsed="false">
      <c r="A67" s="4" t="n">
        <v>11</v>
      </c>
      <c r="B67" s="4" t="s">
        <v>181</v>
      </c>
      <c r="C67" s="4" t="s">
        <v>36</v>
      </c>
      <c r="D67" s="5" t="s">
        <v>196</v>
      </c>
      <c r="E67" s="6" t="s">
        <v>197</v>
      </c>
      <c r="F67" s="5" t="s">
        <v>204</v>
      </c>
      <c r="G67" s="6" t="s">
        <v>205</v>
      </c>
      <c r="H67" s="5"/>
      <c r="I67" s="4"/>
      <c r="J67" s="4" t="s">
        <v>26</v>
      </c>
      <c r="K67" s="4" t="s">
        <v>20</v>
      </c>
    </row>
    <row r="68" customFormat="false" ht="21.75" hidden="false" customHeight="true" outlineLevel="0" collapsed="false">
      <c r="A68" s="4" t="n">
        <v>11</v>
      </c>
      <c r="B68" s="4" t="s">
        <v>181</v>
      </c>
      <c r="C68" s="4" t="s">
        <v>36</v>
      </c>
      <c r="D68" s="5" t="s">
        <v>196</v>
      </c>
      <c r="E68" s="6" t="s">
        <v>197</v>
      </c>
      <c r="F68" s="5" t="s">
        <v>206</v>
      </c>
      <c r="G68" s="6" t="s">
        <v>207</v>
      </c>
      <c r="H68" s="5"/>
      <c r="I68" s="4"/>
      <c r="J68" s="4"/>
      <c r="K68" s="4" t="s">
        <v>156</v>
      </c>
    </row>
    <row r="69" customFormat="false" ht="21.75" hidden="false" customHeight="true" outlineLevel="0" collapsed="false">
      <c r="A69" s="4" t="n">
        <v>11</v>
      </c>
      <c r="B69" s="4" t="s">
        <v>181</v>
      </c>
      <c r="C69" s="4" t="s">
        <v>36</v>
      </c>
      <c r="D69" s="5" t="s">
        <v>196</v>
      </c>
      <c r="E69" s="6" t="s">
        <v>197</v>
      </c>
      <c r="F69" s="5" t="s">
        <v>208</v>
      </c>
      <c r="G69" s="6" t="s">
        <v>209</v>
      </c>
      <c r="H69" s="5"/>
      <c r="I69" s="4"/>
      <c r="J69" s="4"/>
      <c r="K69" s="4" t="s">
        <v>156</v>
      </c>
    </row>
    <row r="70" customFormat="false" ht="21.75" hidden="false" customHeight="true" outlineLevel="0" collapsed="false">
      <c r="A70" s="4" t="n">
        <v>11</v>
      </c>
      <c r="B70" s="4" t="s">
        <v>181</v>
      </c>
      <c r="C70" s="4" t="s">
        <v>36</v>
      </c>
      <c r="D70" s="5" t="s">
        <v>196</v>
      </c>
      <c r="E70" s="6" t="s">
        <v>197</v>
      </c>
      <c r="F70" s="5" t="s">
        <v>210</v>
      </c>
      <c r="G70" s="6" t="s">
        <v>211</v>
      </c>
      <c r="H70" s="5"/>
      <c r="I70" s="4"/>
      <c r="J70" s="4"/>
      <c r="K70" s="4" t="s">
        <v>156</v>
      </c>
    </row>
    <row r="71" customFormat="false" ht="21.75" hidden="false" customHeight="true" outlineLevel="0" collapsed="false">
      <c r="A71" s="4" t="n">
        <v>11</v>
      </c>
      <c r="B71" s="4" t="s">
        <v>181</v>
      </c>
      <c r="C71" s="4" t="s">
        <v>36</v>
      </c>
      <c r="D71" s="5" t="s">
        <v>196</v>
      </c>
      <c r="E71" s="6" t="s">
        <v>197</v>
      </c>
      <c r="F71" s="5" t="s">
        <v>212</v>
      </c>
      <c r="G71" s="6" t="s">
        <v>213</v>
      </c>
      <c r="H71" s="5"/>
      <c r="I71" s="4"/>
      <c r="J71" s="4"/>
      <c r="K71" s="4" t="s">
        <v>156</v>
      </c>
    </row>
    <row r="72" customFormat="false" ht="21.75" hidden="false" customHeight="true" outlineLevel="0" collapsed="false">
      <c r="A72" s="4" t="n">
        <v>11</v>
      </c>
      <c r="B72" s="4" t="s">
        <v>181</v>
      </c>
      <c r="C72" s="4" t="s">
        <v>36</v>
      </c>
      <c r="D72" s="5" t="s">
        <v>196</v>
      </c>
      <c r="E72" s="6" t="s">
        <v>197</v>
      </c>
      <c r="F72" s="5" t="s">
        <v>214</v>
      </c>
      <c r="G72" s="6" t="s">
        <v>215</v>
      </c>
      <c r="H72" s="5"/>
      <c r="I72" s="4"/>
      <c r="J72" s="4"/>
      <c r="K72" s="4" t="s">
        <v>156</v>
      </c>
    </row>
    <row r="73" customFormat="false" ht="21.75" hidden="false" customHeight="true" outlineLevel="0" collapsed="false">
      <c r="A73" s="7" t="n">
        <v>12</v>
      </c>
      <c r="B73" s="7" t="s">
        <v>216</v>
      </c>
      <c r="C73" s="7" t="s">
        <v>14</v>
      </c>
      <c r="D73" s="8" t="s">
        <v>217</v>
      </c>
      <c r="E73" s="9" t="s">
        <v>218</v>
      </c>
      <c r="F73" s="8" t="s">
        <v>219</v>
      </c>
      <c r="G73" s="9" t="s">
        <v>220</v>
      </c>
      <c r="H73" s="8"/>
      <c r="I73" s="7"/>
      <c r="J73" s="7" t="s">
        <v>26</v>
      </c>
      <c r="K73" s="7" t="s">
        <v>20</v>
      </c>
    </row>
    <row r="74" customFormat="false" ht="21.75" hidden="false" customHeight="true" outlineLevel="0" collapsed="false">
      <c r="A74" s="7" t="n">
        <v>12</v>
      </c>
      <c r="B74" s="7" t="s">
        <v>216</v>
      </c>
      <c r="C74" s="7" t="s">
        <v>14</v>
      </c>
      <c r="D74" s="8" t="s">
        <v>217</v>
      </c>
      <c r="E74" s="9" t="s">
        <v>218</v>
      </c>
      <c r="F74" s="8" t="s">
        <v>221</v>
      </c>
      <c r="G74" s="9" t="s">
        <v>222</v>
      </c>
      <c r="H74" s="8"/>
      <c r="I74" s="7"/>
      <c r="J74" s="7" t="s">
        <v>26</v>
      </c>
      <c r="K74" s="7" t="s">
        <v>20</v>
      </c>
    </row>
    <row r="75" customFormat="false" ht="21.75" hidden="false" customHeight="true" outlineLevel="0" collapsed="false">
      <c r="A75" s="7" t="n">
        <v>12</v>
      </c>
      <c r="B75" s="7" t="s">
        <v>216</v>
      </c>
      <c r="C75" s="7" t="s">
        <v>14</v>
      </c>
      <c r="D75" s="8" t="s">
        <v>217</v>
      </c>
      <c r="E75" s="9" t="s">
        <v>218</v>
      </c>
      <c r="F75" s="8" t="s">
        <v>223</v>
      </c>
      <c r="G75" s="9" t="s">
        <v>224</v>
      </c>
      <c r="H75" s="8"/>
      <c r="I75" s="7"/>
      <c r="J75" s="7" t="s">
        <v>26</v>
      </c>
      <c r="K75" s="7" t="s">
        <v>20</v>
      </c>
    </row>
    <row r="76" customFormat="false" ht="21.75" hidden="false" customHeight="true" outlineLevel="0" collapsed="false">
      <c r="A76" s="7" t="n">
        <v>12</v>
      </c>
      <c r="B76" s="7" t="s">
        <v>216</v>
      </c>
      <c r="C76" s="7" t="s">
        <v>14</v>
      </c>
      <c r="D76" s="8" t="s">
        <v>217</v>
      </c>
      <c r="E76" s="9" t="s">
        <v>218</v>
      </c>
      <c r="F76" s="8" t="s">
        <v>225</v>
      </c>
      <c r="G76" s="9" t="s">
        <v>226</v>
      </c>
      <c r="H76" s="8"/>
      <c r="I76" s="7"/>
      <c r="J76" s="7" t="s">
        <v>26</v>
      </c>
      <c r="K76" s="7" t="s">
        <v>20</v>
      </c>
    </row>
    <row r="77" customFormat="false" ht="21.75" hidden="false" customHeight="true" outlineLevel="0" collapsed="false">
      <c r="A77" s="7" t="n">
        <v>12</v>
      </c>
      <c r="B77" s="7" t="s">
        <v>216</v>
      </c>
      <c r="C77" s="7" t="s">
        <v>14</v>
      </c>
      <c r="D77" s="8" t="s">
        <v>217</v>
      </c>
      <c r="E77" s="9" t="s">
        <v>218</v>
      </c>
      <c r="F77" s="8" t="s">
        <v>227</v>
      </c>
      <c r="G77" s="9" t="s">
        <v>228</v>
      </c>
      <c r="H77" s="8"/>
      <c r="I77" s="7"/>
      <c r="J77" s="7"/>
      <c r="K77" s="7" t="s">
        <v>156</v>
      </c>
    </row>
    <row r="78" customFormat="false" ht="21.75" hidden="false" customHeight="true" outlineLevel="0" collapsed="false">
      <c r="A78" s="7" t="n">
        <v>12</v>
      </c>
      <c r="B78" s="7" t="s">
        <v>216</v>
      </c>
      <c r="C78" s="7" t="s">
        <v>14</v>
      </c>
      <c r="D78" s="8" t="s">
        <v>217</v>
      </c>
      <c r="E78" s="9" t="s">
        <v>218</v>
      </c>
      <c r="F78" s="8" t="s">
        <v>229</v>
      </c>
      <c r="G78" s="9" t="s">
        <v>230</v>
      </c>
      <c r="H78" s="8"/>
      <c r="I78" s="7"/>
      <c r="J78" s="7"/>
      <c r="K78" s="7" t="s">
        <v>156</v>
      </c>
    </row>
    <row r="79" customFormat="false" ht="21.75" hidden="false" customHeight="true" outlineLevel="0" collapsed="false">
      <c r="A79" s="7" t="n">
        <v>12</v>
      </c>
      <c r="B79" s="7" t="s">
        <v>216</v>
      </c>
      <c r="C79" s="7" t="s">
        <v>14</v>
      </c>
      <c r="D79" s="8" t="s">
        <v>217</v>
      </c>
      <c r="E79" s="9" t="s">
        <v>218</v>
      </c>
      <c r="F79" s="8" t="s">
        <v>231</v>
      </c>
      <c r="G79" s="9" t="s">
        <v>232</v>
      </c>
      <c r="H79" s="8"/>
      <c r="I79" s="7"/>
      <c r="J79" s="7"/>
      <c r="K79" s="7" t="s">
        <v>156</v>
      </c>
    </row>
    <row r="80" customFormat="false" ht="21.75" hidden="false" customHeight="true" outlineLevel="0" collapsed="false">
      <c r="A80" s="4" t="n">
        <v>13</v>
      </c>
      <c r="B80" s="4" t="s">
        <v>216</v>
      </c>
      <c r="C80" s="4" t="s">
        <v>36</v>
      </c>
      <c r="D80" s="5" t="s">
        <v>233</v>
      </c>
      <c r="E80" s="6" t="s">
        <v>234</v>
      </c>
      <c r="F80" s="5" t="s">
        <v>235</v>
      </c>
      <c r="G80" s="6" t="s">
        <v>236</v>
      </c>
      <c r="H80" s="5"/>
      <c r="I80" s="4"/>
      <c r="J80" s="4" t="s">
        <v>26</v>
      </c>
      <c r="K80" s="4" t="s">
        <v>20</v>
      </c>
    </row>
    <row r="81" customFormat="false" ht="21.75" hidden="false" customHeight="true" outlineLevel="0" collapsed="false">
      <c r="A81" s="4" t="n">
        <v>13</v>
      </c>
      <c r="B81" s="4" t="s">
        <v>216</v>
      </c>
      <c r="C81" s="4" t="s">
        <v>36</v>
      </c>
      <c r="D81" s="5" t="s">
        <v>233</v>
      </c>
      <c r="E81" s="6" t="s">
        <v>234</v>
      </c>
      <c r="F81" s="5" t="s">
        <v>237</v>
      </c>
      <c r="G81" s="6" t="s">
        <v>238</v>
      </c>
      <c r="H81" s="5"/>
      <c r="I81" s="4"/>
      <c r="J81" s="4" t="s">
        <v>26</v>
      </c>
      <c r="K81" s="4" t="s">
        <v>20</v>
      </c>
    </row>
    <row r="82" customFormat="false" ht="21.75" hidden="false" customHeight="true" outlineLevel="0" collapsed="false">
      <c r="A82" s="4" t="n">
        <v>13</v>
      </c>
      <c r="B82" s="4" t="s">
        <v>216</v>
      </c>
      <c r="C82" s="4" t="s">
        <v>36</v>
      </c>
      <c r="D82" s="5" t="s">
        <v>233</v>
      </c>
      <c r="E82" s="6" t="s">
        <v>234</v>
      </c>
      <c r="F82" s="5" t="s">
        <v>239</v>
      </c>
      <c r="G82" s="6" t="s">
        <v>240</v>
      </c>
      <c r="H82" s="5"/>
      <c r="I82" s="4"/>
      <c r="J82" s="4" t="s">
        <v>26</v>
      </c>
      <c r="K82" s="4" t="s">
        <v>20</v>
      </c>
    </row>
    <row r="83" customFormat="false" ht="21.75" hidden="false" customHeight="true" outlineLevel="0" collapsed="false">
      <c r="A83" s="4" t="n">
        <v>13</v>
      </c>
      <c r="B83" s="4" t="s">
        <v>216</v>
      </c>
      <c r="C83" s="4" t="s">
        <v>36</v>
      </c>
      <c r="D83" s="5" t="s">
        <v>233</v>
      </c>
      <c r="E83" s="6" t="s">
        <v>234</v>
      </c>
      <c r="F83" s="5" t="s">
        <v>241</v>
      </c>
      <c r="G83" s="6" t="s">
        <v>242</v>
      </c>
      <c r="H83" s="5"/>
      <c r="I83" s="4"/>
      <c r="J83" s="4" t="s">
        <v>26</v>
      </c>
      <c r="K83" s="4" t="s">
        <v>20</v>
      </c>
    </row>
    <row r="84" customFormat="false" ht="21.75" hidden="false" customHeight="true" outlineLevel="0" collapsed="false">
      <c r="A84" s="4" t="n">
        <v>13</v>
      </c>
      <c r="B84" s="4" t="s">
        <v>216</v>
      </c>
      <c r="C84" s="4" t="s">
        <v>36</v>
      </c>
      <c r="D84" s="5" t="s">
        <v>233</v>
      </c>
      <c r="E84" s="6" t="s">
        <v>234</v>
      </c>
      <c r="F84" s="5" t="s">
        <v>243</v>
      </c>
      <c r="G84" s="6" t="s">
        <v>244</v>
      </c>
      <c r="H84" s="5"/>
      <c r="I84" s="4"/>
      <c r="J84" s="4"/>
      <c r="K84" s="4" t="s">
        <v>156</v>
      </c>
    </row>
    <row r="85" customFormat="false" ht="21.75" hidden="false" customHeight="true" outlineLevel="0" collapsed="false">
      <c r="A85" s="4" t="n">
        <v>13</v>
      </c>
      <c r="B85" s="4" t="s">
        <v>216</v>
      </c>
      <c r="C85" s="4" t="s">
        <v>36</v>
      </c>
      <c r="D85" s="5" t="s">
        <v>233</v>
      </c>
      <c r="E85" s="6" t="s">
        <v>234</v>
      </c>
      <c r="F85" s="5" t="s">
        <v>223</v>
      </c>
      <c r="G85" s="6" t="s">
        <v>224</v>
      </c>
      <c r="H85" s="5"/>
      <c r="I85" s="4"/>
      <c r="J85" s="4"/>
      <c r="K85" s="4" t="s">
        <v>156</v>
      </c>
    </row>
    <row r="86" customFormat="false" ht="21.75" hidden="false" customHeight="true" outlineLevel="0" collapsed="false">
      <c r="A86" s="4" t="n">
        <v>13</v>
      </c>
      <c r="B86" s="4" t="s">
        <v>216</v>
      </c>
      <c r="C86" s="4" t="s">
        <v>36</v>
      </c>
      <c r="D86" s="5" t="s">
        <v>233</v>
      </c>
      <c r="E86" s="6" t="s">
        <v>234</v>
      </c>
      <c r="F86" s="5" t="s">
        <v>245</v>
      </c>
      <c r="G86" s="6" t="s">
        <v>246</v>
      </c>
      <c r="H86" s="5"/>
      <c r="I86" s="4"/>
      <c r="J86" s="4"/>
      <c r="K86" s="4" t="s">
        <v>156</v>
      </c>
    </row>
    <row r="87" customFormat="false" ht="21.75" hidden="false" customHeight="true" outlineLevel="0" collapsed="false">
      <c r="A87" s="4" t="n">
        <v>13</v>
      </c>
      <c r="B87" s="4" t="s">
        <v>216</v>
      </c>
      <c r="C87" s="4" t="s">
        <v>36</v>
      </c>
      <c r="D87" s="5" t="s">
        <v>233</v>
      </c>
      <c r="E87" s="6" t="s">
        <v>234</v>
      </c>
      <c r="F87" s="5" t="s">
        <v>247</v>
      </c>
      <c r="G87" s="6" t="s">
        <v>248</v>
      </c>
      <c r="H87" s="5"/>
      <c r="I87" s="4"/>
      <c r="J87" s="4"/>
      <c r="K87" s="4" t="s">
        <v>156</v>
      </c>
    </row>
    <row r="88" customFormat="false" ht="21.75" hidden="false" customHeight="true" outlineLevel="0" collapsed="false">
      <c r="A88" s="4" t="n">
        <v>13</v>
      </c>
      <c r="B88" s="4" t="s">
        <v>216</v>
      </c>
      <c r="C88" s="4" t="s">
        <v>36</v>
      </c>
      <c r="D88" s="5" t="s">
        <v>233</v>
      </c>
      <c r="E88" s="6" t="s">
        <v>234</v>
      </c>
      <c r="F88" s="5" t="s">
        <v>249</v>
      </c>
      <c r="G88" s="6" t="s">
        <v>250</v>
      </c>
      <c r="H88" s="5"/>
      <c r="I88" s="4"/>
      <c r="J88" s="4"/>
      <c r="K88" s="4" t="s">
        <v>156</v>
      </c>
    </row>
    <row r="89" customFormat="false" ht="21.75" hidden="false" customHeight="true" outlineLevel="0" collapsed="false">
      <c r="A89" s="4" t="n">
        <v>13</v>
      </c>
      <c r="B89" s="4" t="s">
        <v>216</v>
      </c>
      <c r="C89" s="4" t="s">
        <v>36</v>
      </c>
      <c r="D89" s="5" t="s">
        <v>233</v>
      </c>
      <c r="E89" s="6" t="s">
        <v>234</v>
      </c>
      <c r="F89" s="5" t="s">
        <v>251</v>
      </c>
      <c r="G89" s="6" t="s">
        <v>252</v>
      </c>
      <c r="H89" s="5"/>
      <c r="I89" s="4"/>
      <c r="J89" s="4"/>
      <c r="K89" s="4" t="s">
        <v>156</v>
      </c>
    </row>
    <row r="90" customFormat="false" ht="21.75" hidden="false" customHeight="true" outlineLevel="0" collapsed="false">
      <c r="A90" s="4" t="n">
        <v>13</v>
      </c>
      <c r="B90" s="4" t="s">
        <v>216</v>
      </c>
      <c r="C90" s="4" t="s">
        <v>36</v>
      </c>
      <c r="D90" s="5" t="s">
        <v>233</v>
      </c>
      <c r="E90" s="6" t="s">
        <v>234</v>
      </c>
      <c r="F90" s="5" t="s">
        <v>253</v>
      </c>
      <c r="G90" s="6" t="s">
        <v>254</v>
      </c>
      <c r="H90" s="5"/>
      <c r="I90" s="4"/>
      <c r="J90" s="4"/>
      <c r="K90" s="4" t="s">
        <v>156</v>
      </c>
    </row>
    <row r="91" customFormat="false" ht="21.75" hidden="false" customHeight="true" outlineLevel="0" collapsed="false">
      <c r="A91" s="7" t="n">
        <v>14</v>
      </c>
      <c r="B91" s="7" t="s">
        <v>255</v>
      </c>
      <c r="C91" s="7" t="s">
        <v>14</v>
      </c>
      <c r="D91" s="8" t="s">
        <v>256</v>
      </c>
      <c r="E91" s="9" t="s">
        <v>257</v>
      </c>
      <c r="F91" s="8" t="s">
        <v>258</v>
      </c>
      <c r="G91" s="9" t="s">
        <v>259</v>
      </c>
      <c r="H91" s="8"/>
      <c r="I91" s="7"/>
      <c r="J91" s="7" t="s">
        <v>26</v>
      </c>
      <c r="K91" s="7" t="s">
        <v>20</v>
      </c>
    </row>
    <row r="92" customFormat="false" ht="21.75" hidden="false" customHeight="true" outlineLevel="0" collapsed="false">
      <c r="A92" s="7" t="n">
        <v>14</v>
      </c>
      <c r="B92" s="7" t="s">
        <v>255</v>
      </c>
      <c r="C92" s="7" t="s">
        <v>14</v>
      </c>
      <c r="D92" s="8" t="s">
        <v>256</v>
      </c>
      <c r="E92" s="9" t="s">
        <v>257</v>
      </c>
      <c r="F92" s="8" t="s">
        <v>260</v>
      </c>
      <c r="G92" s="9" t="s">
        <v>261</v>
      </c>
      <c r="H92" s="8"/>
      <c r="I92" s="7"/>
      <c r="J92" s="7" t="s">
        <v>26</v>
      </c>
      <c r="K92" s="7" t="s">
        <v>20</v>
      </c>
    </row>
    <row r="93" customFormat="false" ht="21.75" hidden="false" customHeight="true" outlineLevel="0" collapsed="false">
      <c r="A93" s="7" t="n">
        <v>14</v>
      </c>
      <c r="B93" s="7" t="s">
        <v>255</v>
      </c>
      <c r="C93" s="7" t="s">
        <v>14</v>
      </c>
      <c r="D93" s="8" t="s">
        <v>256</v>
      </c>
      <c r="E93" s="9" t="s">
        <v>257</v>
      </c>
      <c r="F93" s="8" t="s">
        <v>262</v>
      </c>
      <c r="G93" s="9" t="s">
        <v>263</v>
      </c>
      <c r="H93" s="8"/>
      <c r="I93" s="7"/>
      <c r="J93" s="7" t="s">
        <v>26</v>
      </c>
      <c r="K93" s="7" t="s">
        <v>20</v>
      </c>
    </row>
    <row r="94" customFormat="false" ht="21.75" hidden="false" customHeight="true" outlineLevel="0" collapsed="false">
      <c r="A94" s="7" t="n">
        <v>14</v>
      </c>
      <c r="B94" s="7" t="s">
        <v>255</v>
      </c>
      <c r="C94" s="7" t="s">
        <v>14</v>
      </c>
      <c r="D94" s="8" t="s">
        <v>256</v>
      </c>
      <c r="E94" s="9" t="s">
        <v>257</v>
      </c>
      <c r="F94" s="8" t="s">
        <v>264</v>
      </c>
      <c r="G94" s="9" t="s">
        <v>265</v>
      </c>
      <c r="H94" s="8"/>
      <c r="I94" s="7"/>
      <c r="J94" s="7" t="s">
        <v>26</v>
      </c>
      <c r="K94" s="7" t="s">
        <v>20</v>
      </c>
    </row>
    <row r="95" customFormat="false" ht="21.75" hidden="false" customHeight="true" outlineLevel="0" collapsed="false">
      <c r="A95" s="7" t="n">
        <v>14</v>
      </c>
      <c r="B95" s="7" t="s">
        <v>255</v>
      </c>
      <c r="C95" s="7" t="s">
        <v>14</v>
      </c>
      <c r="D95" s="8" t="s">
        <v>256</v>
      </c>
      <c r="E95" s="9" t="s">
        <v>257</v>
      </c>
      <c r="F95" s="8" t="s">
        <v>266</v>
      </c>
      <c r="G95" s="9" t="s">
        <v>267</v>
      </c>
      <c r="H95" s="8"/>
      <c r="I95" s="7"/>
      <c r="J95" s="7"/>
      <c r="K95" s="7" t="s">
        <v>156</v>
      </c>
    </row>
    <row r="96" customFormat="false" ht="21.75" hidden="false" customHeight="true" outlineLevel="0" collapsed="false">
      <c r="A96" s="7" t="n">
        <v>14</v>
      </c>
      <c r="B96" s="7" t="s">
        <v>255</v>
      </c>
      <c r="C96" s="7" t="s">
        <v>14</v>
      </c>
      <c r="D96" s="8" t="s">
        <v>256</v>
      </c>
      <c r="E96" s="9" t="s">
        <v>257</v>
      </c>
      <c r="F96" s="8" t="s">
        <v>268</v>
      </c>
      <c r="G96" s="9" t="s">
        <v>269</v>
      </c>
      <c r="H96" s="8"/>
      <c r="I96" s="7"/>
      <c r="J96" s="7"/>
      <c r="K96" s="7" t="s">
        <v>156</v>
      </c>
    </row>
    <row r="97" customFormat="false" ht="21.75" hidden="false" customHeight="true" outlineLevel="0" collapsed="false">
      <c r="A97" s="4" t="n">
        <v>15</v>
      </c>
      <c r="B97" s="4" t="s">
        <v>255</v>
      </c>
      <c r="C97" s="4" t="s">
        <v>36</v>
      </c>
      <c r="D97" s="5" t="s">
        <v>270</v>
      </c>
      <c r="E97" s="6" t="s">
        <v>271</v>
      </c>
      <c r="F97" s="5" t="s">
        <v>90</v>
      </c>
      <c r="G97" s="6" t="s">
        <v>91</v>
      </c>
      <c r="H97" s="5"/>
      <c r="I97" s="4"/>
      <c r="J97" s="4" t="s">
        <v>26</v>
      </c>
      <c r="K97" s="4" t="s">
        <v>20</v>
      </c>
    </row>
    <row r="98" customFormat="false" ht="21.75" hidden="false" customHeight="true" outlineLevel="0" collapsed="false">
      <c r="A98" s="4" t="n">
        <v>15</v>
      </c>
      <c r="B98" s="4" t="s">
        <v>255</v>
      </c>
      <c r="C98" s="4" t="s">
        <v>36</v>
      </c>
      <c r="D98" s="5" t="s">
        <v>270</v>
      </c>
      <c r="E98" s="6" t="s">
        <v>271</v>
      </c>
      <c r="F98" s="5" t="s">
        <v>272</v>
      </c>
      <c r="G98" s="6" t="s">
        <v>273</v>
      </c>
      <c r="H98" s="5"/>
      <c r="I98" s="4"/>
      <c r="J98" s="4" t="s">
        <v>26</v>
      </c>
      <c r="K98" s="4" t="s">
        <v>20</v>
      </c>
    </row>
    <row r="99" customFormat="false" ht="21.75" hidden="false" customHeight="true" outlineLevel="0" collapsed="false">
      <c r="A99" s="4" t="n">
        <v>15</v>
      </c>
      <c r="B99" s="4" t="s">
        <v>255</v>
      </c>
      <c r="C99" s="4" t="s">
        <v>36</v>
      </c>
      <c r="D99" s="5" t="s">
        <v>270</v>
      </c>
      <c r="E99" s="6" t="s">
        <v>271</v>
      </c>
      <c r="F99" s="5" t="s">
        <v>92</v>
      </c>
      <c r="G99" s="6" t="s">
        <v>93</v>
      </c>
      <c r="H99" s="5"/>
      <c r="I99" s="4" t="s">
        <v>94</v>
      </c>
      <c r="J99" s="4" t="s">
        <v>19</v>
      </c>
      <c r="K99" s="4" t="s">
        <v>20</v>
      </c>
    </row>
    <row r="100" customFormat="false" ht="21.75" hidden="false" customHeight="true" outlineLevel="0" collapsed="false">
      <c r="A100" s="4" t="n">
        <v>15</v>
      </c>
      <c r="B100" s="4" t="s">
        <v>255</v>
      </c>
      <c r="C100" s="4" t="s">
        <v>36</v>
      </c>
      <c r="D100" s="5" t="s">
        <v>270</v>
      </c>
      <c r="E100" s="6" t="s">
        <v>271</v>
      </c>
      <c r="F100" s="5" t="s">
        <v>274</v>
      </c>
      <c r="G100" s="6" t="s">
        <v>275</v>
      </c>
      <c r="H100" s="5"/>
      <c r="I100" s="4" t="s">
        <v>276</v>
      </c>
      <c r="J100" s="4" t="s">
        <v>19</v>
      </c>
      <c r="K100" s="4" t="s">
        <v>20</v>
      </c>
    </row>
    <row r="101" customFormat="false" ht="21.75" hidden="false" customHeight="true" outlineLevel="0" collapsed="false">
      <c r="A101" s="4" t="n">
        <v>15</v>
      </c>
      <c r="B101" s="4" t="s">
        <v>255</v>
      </c>
      <c r="C101" s="4" t="s">
        <v>36</v>
      </c>
      <c r="D101" s="5" t="s">
        <v>270</v>
      </c>
      <c r="E101" s="6" t="s">
        <v>271</v>
      </c>
      <c r="F101" s="5" t="s">
        <v>277</v>
      </c>
      <c r="G101" s="6" t="s">
        <v>278</v>
      </c>
      <c r="H101" s="5"/>
      <c r="I101" s="4"/>
      <c r="J101" s="4" t="s">
        <v>19</v>
      </c>
      <c r="K101" s="4" t="s">
        <v>20</v>
      </c>
    </row>
    <row r="102" customFormat="false" ht="21.75" hidden="false" customHeight="true" outlineLevel="0" collapsed="false">
      <c r="A102" s="4" t="n">
        <v>15</v>
      </c>
      <c r="B102" s="4" t="s">
        <v>255</v>
      </c>
      <c r="C102" s="4" t="s">
        <v>36</v>
      </c>
      <c r="D102" s="5" t="s">
        <v>270</v>
      </c>
      <c r="E102" s="6" t="s">
        <v>271</v>
      </c>
      <c r="F102" s="5" t="s">
        <v>279</v>
      </c>
      <c r="G102" s="6" t="s">
        <v>280</v>
      </c>
      <c r="H102" s="5"/>
      <c r="I102" s="4"/>
      <c r="J102" s="4"/>
      <c r="K102" s="4" t="s">
        <v>156</v>
      </c>
    </row>
    <row r="103" customFormat="false" ht="21.75" hidden="false" customHeight="true" outlineLevel="0" collapsed="false">
      <c r="A103" s="4" t="n">
        <v>15</v>
      </c>
      <c r="B103" s="4" t="s">
        <v>255</v>
      </c>
      <c r="C103" s="4" t="s">
        <v>36</v>
      </c>
      <c r="D103" s="5" t="s">
        <v>270</v>
      </c>
      <c r="E103" s="6" t="s">
        <v>271</v>
      </c>
      <c r="F103" s="5" t="s">
        <v>281</v>
      </c>
      <c r="G103" s="6" t="s">
        <v>282</v>
      </c>
      <c r="H103" s="5"/>
      <c r="I103" s="4"/>
      <c r="J103" s="4"/>
      <c r="K103" s="4" t="s">
        <v>156</v>
      </c>
    </row>
    <row r="104" customFormat="false" ht="21.75" hidden="false" customHeight="true" outlineLevel="0" collapsed="false">
      <c r="A104" s="4" t="n">
        <v>15</v>
      </c>
      <c r="B104" s="4" t="s">
        <v>255</v>
      </c>
      <c r="C104" s="4" t="s">
        <v>36</v>
      </c>
      <c r="D104" s="5" t="s">
        <v>270</v>
      </c>
      <c r="E104" s="6" t="s">
        <v>271</v>
      </c>
      <c r="F104" s="5" t="s">
        <v>283</v>
      </c>
      <c r="G104" s="6" t="s">
        <v>284</v>
      </c>
      <c r="H104" s="5"/>
      <c r="I104" s="4"/>
      <c r="J104" s="4"/>
      <c r="K104" s="4" t="s">
        <v>156</v>
      </c>
    </row>
    <row r="105" customFormat="false" ht="21.75" hidden="false" customHeight="true" outlineLevel="0" collapsed="false">
      <c r="A105" s="7" t="n">
        <v>16</v>
      </c>
      <c r="B105" s="7" t="s">
        <v>285</v>
      </c>
      <c r="C105" s="7" t="s">
        <v>14</v>
      </c>
      <c r="D105" s="8" t="s">
        <v>286</v>
      </c>
      <c r="E105" s="9" t="s">
        <v>287</v>
      </c>
      <c r="F105" s="8" t="s">
        <v>288</v>
      </c>
      <c r="G105" s="9" t="s">
        <v>289</v>
      </c>
      <c r="H105" s="8"/>
      <c r="I105" s="7"/>
      <c r="J105" s="7" t="s">
        <v>19</v>
      </c>
      <c r="K105" s="7" t="s">
        <v>20</v>
      </c>
    </row>
    <row r="106" customFormat="false" ht="21.75" hidden="false" customHeight="true" outlineLevel="0" collapsed="false">
      <c r="A106" s="7" t="n">
        <v>16</v>
      </c>
      <c r="B106" s="7" t="s">
        <v>285</v>
      </c>
      <c r="C106" s="7" t="s">
        <v>14</v>
      </c>
      <c r="D106" s="8" t="s">
        <v>286</v>
      </c>
      <c r="E106" s="9" t="s">
        <v>287</v>
      </c>
      <c r="F106" s="8" t="s">
        <v>290</v>
      </c>
      <c r="G106" s="9" t="s">
        <v>291</v>
      </c>
      <c r="H106" s="8"/>
      <c r="I106" s="7"/>
      <c r="J106" s="7" t="s">
        <v>19</v>
      </c>
      <c r="K106" s="7" t="s">
        <v>20</v>
      </c>
    </row>
    <row r="107" customFormat="false" ht="21.75" hidden="false" customHeight="true" outlineLevel="0" collapsed="false">
      <c r="A107" s="7" t="n">
        <v>16</v>
      </c>
      <c r="B107" s="7" t="s">
        <v>285</v>
      </c>
      <c r="C107" s="7" t="s">
        <v>14</v>
      </c>
      <c r="D107" s="8" t="s">
        <v>286</v>
      </c>
      <c r="E107" s="9" t="s">
        <v>287</v>
      </c>
      <c r="F107" s="8" t="s">
        <v>292</v>
      </c>
      <c r="G107" s="9" t="s">
        <v>293</v>
      </c>
      <c r="H107" s="8"/>
      <c r="I107" s="7" t="s">
        <v>294</v>
      </c>
      <c r="J107" s="7" t="s">
        <v>26</v>
      </c>
      <c r="K107" s="7" t="s">
        <v>20</v>
      </c>
    </row>
    <row r="108" customFormat="false" ht="21.75" hidden="false" customHeight="true" outlineLevel="0" collapsed="false">
      <c r="A108" s="7" t="n">
        <v>16</v>
      </c>
      <c r="B108" s="7" t="s">
        <v>285</v>
      </c>
      <c r="C108" s="7" t="s">
        <v>14</v>
      </c>
      <c r="D108" s="8" t="s">
        <v>286</v>
      </c>
      <c r="E108" s="9" t="s">
        <v>287</v>
      </c>
      <c r="F108" s="8" t="s">
        <v>295</v>
      </c>
      <c r="G108" s="9" t="s">
        <v>296</v>
      </c>
      <c r="H108" s="8"/>
      <c r="I108" s="7" t="s">
        <v>297</v>
      </c>
      <c r="J108" s="7" t="s">
        <v>19</v>
      </c>
      <c r="K108" s="7" t="s">
        <v>20</v>
      </c>
    </row>
    <row r="109" customFormat="false" ht="21.75" hidden="false" customHeight="true" outlineLevel="0" collapsed="false">
      <c r="A109" s="7" t="n">
        <v>16</v>
      </c>
      <c r="B109" s="7" t="s">
        <v>285</v>
      </c>
      <c r="C109" s="7" t="s">
        <v>14</v>
      </c>
      <c r="D109" s="8" t="s">
        <v>286</v>
      </c>
      <c r="E109" s="9" t="s">
        <v>287</v>
      </c>
      <c r="F109" s="8" t="s">
        <v>298</v>
      </c>
      <c r="G109" s="9" t="s">
        <v>299</v>
      </c>
      <c r="H109" s="8"/>
      <c r="I109" s="7" t="s">
        <v>300</v>
      </c>
      <c r="J109" s="7" t="s">
        <v>26</v>
      </c>
      <c r="K109" s="7" t="s">
        <v>20</v>
      </c>
    </row>
    <row r="110" customFormat="false" ht="21.75" hidden="false" customHeight="true" outlineLevel="0" collapsed="false">
      <c r="A110" s="7" t="n">
        <v>16</v>
      </c>
      <c r="B110" s="7" t="s">
        <v>285</v>
      </c>
      <c r="C110" s="7" t="s">
        <v>14</v>
      </c>
      <c r="D110" s="8" t="s">
        <v>286</v>
      </c>
      <c r="E110" s="9" t="s">
        <v>287</v>
      </c>
      <c r="F110" s="8" t="s">
        <v>301</v>
      </c>
      <c r="G110" s="9" t="s">
        <v>302</v>
      </c>
      <c r="H110" s="8"/>
      <c r="I110" s="7" t="s">
        <v>303</v>
      </c>
      <c r="J110" s="7" t="s">
        <v>26</v>
      </c>
      <c r="K110" s="7" t="s">
        <v>20</v>
      </c>
    </row>
    <row r="111" customFormat="false" ht="21.75" hidden="false" customHeight="true" outlineLevel="0" collapsed="false">
      <c r="A111" s="7" t="n">
        <v>16</v>
      </c>
      <c r="B111" s="7" t="s">
        <v>285</v>
      </c>
      <c r="C111" s="7" t="s">
        <v>14</v>
      </c>
      <c r="D111" s="8" t="s">
        <v>286</v>
      </c>
      <c r="E111" s="9" t="s">
        <v>287</v>
      </c>
      <c r="F111" s="8" t="s">
        <v>304</v>
      </c>
      <c r="G111" s="9" t="s">
        <v>305</v>
      </c>
      <c r="H111" s="8"/>
      <c r="I111" s="7" t="s">
        <v>306</v>
      </c>
      <c r="J111" s="7" t="s">
        <v>26</v>
      </c>
      <c r="K111" s="7" t="s">
        <v>20</v>
      </c>
    </row>
    <row r="112" customFormat="false" ht="21.75" hidden="false" customHeight="true" outlineLevel="0" collapsed="false">
      <c r="A112" s="7" t="n">
        <v>16</v>
      </c>
      <c r="B112" s="7" t="s">
        <v>285</v>
      </c>
      <c r="C112" s="7" t="s">
        <v>14</v>
      </c>
      <c r="D112" s="8" t="s">
        <v>286</v>
      </c>
      <c r="E112" s="9" t="s">
        <v>287</v>
      </c>
      <c r="F112" s="8" t="s">
        <v>307</v>
      </c>
      <c r="G112" s="9" t="s">
        <v>308</v>
      </c>
      <c r="H112" s="8"/>
      <c r="I112" s="7" t="s">
        <v>309</v>
      </c>
      <c r="J112" s="7" t="s">
        <v>26</v>
      </c>
      <c r="K112" s="7" t="s">
        <v>20</v>
      </c>
    </row>
    <row r="113" customFormat="false" ht="21.75" hidden="false" customHeight="true" outlineLevel="0" collapsed="false">
      <c r="A113" s="7" t="n">
        <v>16</v>
      </c>
      <c r="B113" s="7" t="s">
        <v>285</v>
      </c>
      <c r="C113" s="7" t="s">
        <v>14</v>
      </c>
      <c r="D113" s="8" t="s">
        <v>286</v>
      </c>
      <c r="E113" s="9" t="s">
        <v>287</v>
      </c>
      <c r="F113" s="8" t="s">
        <v>310</v>
      </c>
      <c r="G113" s="9" t="s">
        <v>311</v>
      </c>
      <c r="H113" s="8"/>
      <c r="I113" s="7" t="s">
        <v>312</v>
      </c>
      <c r="J113" s="7" t="s">
        <v>26</v>
      </c>
      <c r="K113" s="7" t="s">
        <v>20</v>
      </c>
    </row>
    <row r="114" customFormat="false" ht="21.75" hidden="false" customHeight="true" outlineLevel="0" collapsed="false">
      <c r="A114" s="7" t="n">
        <v>16</v>
      </c>
      <c r="B114" s="7" t="s">
        <v>285</v>
      </c>
      <c r="C114" s="7" t="s">
        <v>14</v>
      </c>
      <c r="D114" s="8" t="s">
        <v>286</v>
      </c>
      <c r="E114" s="9" t="s">
        <v>287</v>
      </c>
      <c r="F114" s="8" t="s">
        <v>313</v>
      </c>
      <c r="G114" s="9" t="s">
        <v>314</v>
      </c>
      <c r="H114" s="8"/>
      <c r="I114" s="7" t="s">
        <v>315</v>
      </c>
      <c r="J114" s="7" t="s">
        <v>26</v>
      </c>
      <c r="K114" s="7" t="s">
        <v>20</v>
      </c>
    </row>
    <row r="115" customFormat="false" ht="21.75" hidden="false" customHeight="true" outlineLevel="0" collapsed="false">
      <c r="A115" s="4" t="n">
        <v>17</v>
      </c>
      <c r="B115" s="4" t="s">
        <v>285</v>
      </c>
      <c r="C115" s="4" t="s">
        <v>36</v>
      </c>
      <c r="D115" s="5" t="s">
        <v>316</v>
      </c>
      <c r="E115" s="6" t="s">
        <v>317</v>
      </c>
      <c r="F115" s="5" t="s">
        <v>318</v>
      </c>
      <c r="G115" s="6" t="s">
        <v>319</v>
      </c>
      <c r="H115" s="5"/>
      <c r="I115" s="4" t="s">
        <v>320</v>
      </c>
      <c r="J115" s="4" t="s">
        <v>19</v>
      </c>
      <c r="K115" s="4" t="s">
        <v>20</v>
      </c>
    </row>
    <row r="116" customFormat="false" ht="21.75" hidden="false" customHeight="true" outlineLevel="0" collapsed="false">
      <c r="A116" s="4" t="n">
        <v>17</v>
      </c>
      <c r="B116" s="4" t="s">
        <v>285</v>
      </c>
      <c r="C116" s="4" t="s">
        <v>36</v>
      </c>
      <c r="D116" s="5" t="s">
        <v>316</v>
      </c>
      <c r="E116" s="6" t="s">
        <v>317</v>
      </c>
      <c r="F116" s="5" t="s">
        <v>321</v>
      </c>
      <c r="G116" s="6" t="s">
        <v>322</v>
      </c>
      <c r="H116" s="5"/>
      <c r="I116" s="4" t="s">
        <v>323</v>
      </c>
      <c r="J116" s="4" t="s">
        <v>19</v>
      </c>
      <c r="K116" s="4" t="s">
        <v>20</v>
      </c>
    </row>
    <row r="117" customFormat="false" ht="21.75" hidden="false" customHeight="true" outlineLevel="0" collapsed="false">
      <c r="A117" s="4" t="n">
        <v>17</v>
      </c>
      <c r="B117" s="4" t="s">
        <v>285</v>
      </c>
      <c r="C117" s="4" t="s">
        <v>36</v>
      </c>
      <c r="D117" s="5" t="s">
        <v>316</v>
      </c>
      <c r="E117" s="6" t="s">
        <v>317</v>
      </c>
      <c r="F117" s="5" t="s">
        <v>324</v>
      </c>
      <c r="G117" s="6" t="s">
        <v>325</v>
      </c>
      <c r="H117" s="5"/>
      <c r="I117" s="4"/>
      <c r="J117" s="4" t="s">
        <v>19</v>
      </c>
      <c r="K117" s="4" t="s">
        <v>20</v>
      </c>
    </row>
    <row r="118" customFormat="false" ht="21.75" hidden="false" customHeight="true" outlineLevel="0" collapsed="false">
      <c r="A118" s="4" t="n">
        <v>17</v>
      </c>
      <c r="B118" s="4" t="s">
        <v>285</v>
      </c>
      <c r="C118" s="4" t="s">
        <v>36</v>
      </c>
      <c r="D118" s="5" t="s">
        <v>316</v>
      </c>
      <c r="E118" s="6" t="s">
        <v>317</v>
      </c>
      <c r="F118" s="5" t="s">
        <v>326</v>
      </c>
      <c r="G118" s="6" t="s">
        <v>327</v>
      </c>
      <c r="H118" s="5"/>
      <c r="I118" s="4"/>
      <c r="J118" s="4" t="s">
        <v>19</v>
      </c>
      <c r="K118" s="4" t="s">
        <v>20</v>
      </c>
    </row>
    <row r="119" customFormat="false" ht="21.75" hidden="false" customHeight="true" outlineLevel="0" collapsed="false">
      <c r="A119" s="7" t="n">
        <v>18</v>
      </c>
      <c r="B119" s="7" t="s">
        <v>285</v>
      </c>
      <c r="C119" s="7" t="s">
        <v>50</v>
      </c>
      <c r="D119" s="8" t="s">
        <v>328</v>
      </c>
      <c r="E119" s="9" t="s">
        <v>329</v>
      </c>
      <c r="F119" s="8" t="s">
        <v>330</v>
      </c>
      <c r="G119" s="9" t="s">
        <v>331</v>
      </c>
      <c r="H119" s="8"/>
      <c r="I119" s="7" t="s">
        <v>332</v>
      </c>
      <c r="J119" s="7" t="s">
        <v>26</v>
      </c>
      <c r="K119" s="7" t="s">
        <v>20</v>
      </c>
    </row>
    <row r="120" customFormat="false" ht="21.75" hidden="false" customHeight="true" outlineLevel="0" collapsed="false">
      <c r="A120" s="7" t="n">
        <v>18</v>
      </c>
      <c r="B120" s="7" t="s">
        <v>285</v>
      </c>
      <c r="C120" s="7" t="s">
        <v>50</v>
      </c>
      <c r="D120" s="8" t="s">
        <v>328</v>
      </c>
      <c r="E120" s="9" t="s">
        <v>329</v>
      </c>
      <c r="F120" s="8" t="s">
        <v>333</v>
      </c>
      <c r="G120" s="9" t="s">
        <v>334</v>
      </c>
      <c r="H120" s="8"/>
      <c r="I120" s="7" t="s">
        <v>335</v>
      </c>
      <c r="J120" s="7" t="s">
        <v>26</v>
      </c>
      <c r="K120" s="7" t="s">
        <v>20</v>
      </c>
    </row>
    <row r="121" customFormat="false" ht="21.75" hidden="false" customHeight="true" outlineLevel="0" collapsed="false">
      <c r="A121" s="7" t="n">
        <v>18</v>
      </c>
      <c r="B121" s="7" t="s">
        <v>285</v>
      </c>
      <c r="C121" s="7" t="s">
        <v>50</v>
      </c>
      <c r="D121" s="8" t="s">
        <v>328</v>
      </c>
      <c r="E121" s="9" t="s">
        <v>329</v>
      </c>
      <c r="F121" s="8" t="s">
        <v>336</v>
      </c>
      <c r="G121" s="9" t="s">
        <v>337</v>
      </c>
      <c r="H121" s="8"/>
      <c r="I121" s="7" t="s">
        <v>303</v>
      </c>
      <c r="J121" s="7" t="s">
        <v>26</v>
      </c>
      <c r="K121" s="7" t="s">
        <v>20</v>
      </c>
    </row>
    <row r="122" customFormat="false" ht="21.75" hidden="false" customHeight="true" outlineLevel="0" collapsed="false">
      <c r="A122" s="7" t="n">
        <v>18</v>
      </c>
      <c r="B122" s="7" t="s">
        <v>285</v>
      </c>
      <c r="C122" s="7" t="s">
        <v>50</v>
      </c>
      <c r="D122" s="8" t="s">
        <v>328</v>
      </c>
      <c r="E122" s="9" t="s">
        <v>329</v>
      </c>
      <c r="F122" s="8" t="s">
        <v>338</v>
      </c>
      <c r="G122" s="9" t="s">
        <v>339</v>
      </c>
      <c r="H122" s="8"/>
      <c r="I122" s="7" t="s">
        <v>340</v>
      </c>
      <c r="J122" s="7" t="s">
        <v>26</v>
      </c>
      <c r="K122" s="7" t="s">
        <v>20</v>
      </c>
    </row>
    <row r="123" customFormat="false" ht="21.75" hidden="false" customHeight="true" outlineLevel="0" collapsed="false">
      <c r="A123" s="7" t="n">
        <v>18</v>
      </c>
      <c r="B123" s="7" t="s">
        <v>285</v>
      </c>
      <c r="C123" s="7" t="s">
        <v>50</v>
      </c>
      <c r="D123" s="8" t="s">
        <v>328</v>
      </c>
      <c r="E123" s="9" t="s">
        <v>329</v>
      </c>
      <c r="F123" s="8" t="s">
        <v>341</v>
      </c>
      <c r="G123" s="9" t="s">
        <v>342</v>
      </c>
      <c r="H123" s="8"/>
      <c r="I123" s="7"/>
      <c r="J123" s="7"/>
      <c r="K123" s="7" t="s">
        <v>156</v>
      </c>
    </row>
    <row r="124" customFormat="false" ht="21.75" hidden="false" customHeight="true" outlineLevel="0" collapsed="false">
      <c r="A124" s="7" t="n">
        <v>18</v>
      </c>
      <c r="B124" s="7" t="s">
        <v>285</v>
      </c>
      <c r="C124" s="7" t="s">
        <v>50</v>
      </c>
      <c r="D124" s="8" t="s">
        <v>328</v>
      </c>
      <c r="E124" s="9" t="s">
        <v>329</v>
      </c>
      <c r="F124" s="8" t="s">
        <v>343</v>
      </c>
      <c r="G124" s="9" t="s">
        <v>344</v>
      </c>
      <c r="H124" s="8"/>
      <c r="I124" s="7"/>
      <c r="J124" s="7"/>
      <c r="K124" s="7" t="s">
        <v>156</v>
      </c>
    </row>
    <row r="125" customFormat="false" ht="21.75" hidden="false" customHeight="true" outlineLevel="0" collapsed="false">
      <c r="A125" s="7" t="n">
        <v>18</v>
      </c>
      <c r="B125" s="7" t="s">
        <v>285</v>
      </c>
      <c r="C125" s="7" t="s">
        <v>50</v>
      </c>
      <c r="D125" s="8" t="s">
        <v>328</v>
      </c>
      <c r="E125" s="9" t="s">
        <v>329</v>
      </c>
      <c r="F125" s="8" t="s">
        <v>345</v>
      </c>
      <c r="G125" s="9" t="s">
        <v>346</v>
      </c>
      <c r="H125" s="8"/>
      <c r="I125" s="7"/>
      <c r="J125" s="7"/>
      <c r="K125" s="7" t="s">
        <v>156</v>
      </c>
    </row>
    <row r="126" customFormat="false" ht="21.75" hidden="false" customHeight="true" outlineLevel="0" collapsed="false">
      <c r="A126" s="7" t="n">
        <v>18</v>
      </c>
      <c r="B126" s="7" t="s">
        <v>285</v>
      </c>
      <c r="C126" s="7" t="s">
        <v>50</v>
      </c>
      <c r="D126" s="8" t="s">
        <v>328</v>
      </c>
      <c r="E126" s="9" t="s">
        <v>329</v>
      </c>
      <c r="F126" s="8" t="s">
        <v>347</v>
      </c>
      <c r="G126" s="9" t="s">
        <v>348</v>
      </c>
      <c r="H126" s="8"/>
      <c r="I126" s="7"/>
      <c r="J126" s="7"/>
      <c r="K126" s="7" t="s">
        <v>156</v>
      </c>
    </row>
    <row r="127" customFormat="false" ht="21.75" hidden="false" customHeight="true" outlineLevel="0" collapsed="false">
      <c r="A127" s="7" t="n">
        <v>18</v>
      </c>
      <c r="B127" s="7" t="s">
        <v>285</v>
      </c>
      <c r="C127" s="7" t="s">
        <v>50</v>
      </c>
      <c r="D127" s="8" t="s">
        <v>328</v>
      </c>
      <c r="E127" s="9" t="s">
        <v>329</v>
      </c>
      <c r="F127" s="8" t="s">
        <v>349</v>
      </c>
      <c r="G127" s="9" t="s">
        <v>350</v>
      </c>
      <c r="H127" s="8"/>
      <c r="I127" s="7"/>
      <c r="J127" s="7"/>
      <c r="K127" s="7" t="s">
        <v>156</v>
      </c>
    </row>
    <row r="128" customFormat="false" ht="21.75" hidden="false" customHeight="true" outlineLevel="0" collapsed="false">
      <c r="A128" s="4" t="n">
        <v>19</v>
      </c>
      <c r="B128" s="4" t="s">
        <v>351</v>
      </c>
      <c r="C128" s="4" t="s">
        <v>14</v>
      </c>
      <c r="D128" s="5" t="s">
        <v>352</v>
      </c>
      <c r="E128" s="6" t="s">
        <v>353</v>
      </c>
      <c r="F128" s="5" t="s">
        <v>354</v>
      </c>
      <c r="G128" s="6" t="s">
        <v>355</v>
      </c>
      <c r="H128" s="5"/>
      <c r="I128" s="4"/>
      <c r="J128" s="4" t="s">
        <v>26</v>
      </c>
      <c r="K128" s="4" t="s">
        <v>20</v>
      </c>
    </row>
    <row r="129" customFormat="false" ht="21.75" hidden="false" customHeight="true" outlineLevel="0" collapsed="false">
      <c r="A129" s="4" t="n">
        <v>19</v>
      </c>
      <c r="B129" s="4" t="s">
        <v>351</v>
      </c>
      <c r="C129" s="4" t="s">
        <v>14</v>
      </c>
      <c r="D129" s="5" t="s">
        <v>352</v>
      </c>
      <c r="E129" s="6" t="s">
        <v>353</v>
      </c>
      <c r="F129" s="5" t="s">
        <v>356</v>
      </c>
      <c r="G129" s="6" t="s">
        <v>357</v>
      </c>
      <c r="H129" s="5"/>
      <c r="I129" s="4"/>
      <c r="J129" s="4" t="s">
        <v>26</v>
      </c>
      <c r="K129" s="4" t="s">
        <v>20</v>
      </c>
    </row>
    <row r="130" customFormat="false" ht="21.75" hidden="false" customHeight="true" outlineLevel="0" collapsed="false">
      <c r="A130" s="4" t="n">
        <v>19</v>
      </c>
      <c r="B130" s="4" t="s">
        <v>351</v>
      </c>
      <c r="C130" s="4" t="s">
        <v>14</v>
      </c>
      <c r="D130" s="5" t="s">
        <v>352</v>
      </c>
      <c r="E130" s="6" t="s">
        <v>353</v>
      </c>
      <c r="F130" s="5" t="s">
        <v>358</v>
      </c>
      <c r="G130" s="6" t="s">
        <v>359</v>
      </c>
      <c r="H130" s="5"/>
      <c r="I130" s="4"/>
      <c r="J130" s="4" t="s">
        <v>26</v>
      </c>
      <c r="K130" s="4" t="s">
        <v>20</v>
      </c>
    </row>
    <row r="131" customFormat="false" ht="21.75" hidden="false" customHeight="true" outlineLevel="0" collapsed="false">
      <c r="A131" s="4" t="n">
        <v>19</v>
      </c>
      <c r="B131" s="4" t="s">
        <v>351</v>
      </c>
      <c r="C131" s="4" t="s">
        <v>14</v>
      </c>
      <c r="D131" s="5" t="s">
        <v>352</v>
      </c>
      <c r="E131" s="6" t="s">
        <v>353</v>
      </c>
      <c r="F131" s="5" t="s">
        <v>360</v>
      </c>
      <c r="G131" s="6" t="s">
        <v>361</v>
      </c>
      <c r="H131" s="5"/>
      <c r="I131" s="4"/>
      <c r="J131" s="4" t="s">
        <v>26</v>
      </c>
      <c r="K131" s="4" t="s">
        <v>20</v>
      </c>
    </row>
    <row r="132" customFormat="false" ht="21.75" hidden="false" customHeight="true" outlineLevel="0" collapsed="false">
      <c r="A132" s="4" t="n">
        <v>19</v>
      </c>
      <c r="B132" s="4" t="s">
        <v>351</v>
      </c>
      <c r="C132" s="4" t="s">
        <v>14</v>
      </c>
      <c r="D132" s="5" t="s">
        <v>352</v>
      </c>
      <c r="E132" s="6" t="s">
        <v>353</v>
      </c>
      <c r="F132" s="5" t="s">
        <v>362</v>
      </c>
      <c r="G132" s="6" t="s">
        <v>363</v>
      </c>
      <c r="H132" s="5"/>
      <c r="I132" s="4"/>
      <c r="J132" s="4" t="s">
        <v>26</v>
      </c>
      <c r="K132" s="4" t="s">
        <v>20</v>
      </c>
    </row>
    <row r="133" customFormat="false" ht="21.75" hidden="false" customHeight="true" outlineLevel="0" collapsed="false">
      <c r="A133" s="7" t="n">
        <v>20</v>
      </c>
      <c r="B133" s="7" t="s">
        <v>351</v>
      </c>
      <c r="C133" s="7" t="s">
        <v>36</v>
      </c>
      <c r="D133" s="8" t="s">
        <v>364</v>
      </c>
      <c r="E133" s="9" t="s">
        <v>365</v>
      </c>
      <c r="F133" s="8" t="s">
        <v>366</v>
      </c>
      <c r="G133" s="9" t="s">
        <v>367</v>
      </c>
      <c r="H133" s="8"/>
      <c r="I133" s="7"/>
      <c r="J133" s="7" t="s">
        <v>26</v>
      </c>
      <c r="K133" s="7" t="s">
        <v>20</v>
      </c>
    </row>
    <row r="134" customFormat="false" ht="21.75" hidden="false" customHeight="true" outlineLevel="0" collapsed="false">
      <c r="A134" s="7" t="n">
        <v>20</v>
      </c>
      <c r="B134" s="7" t="s">
        <v>351</v>
      </c>
      <c r="C134" s="7" t="s">
        <v>36</v>
      </c>
      <c r="D134" s="8" t="s">
        <v>364</v>
      </c>
      <c r="E134" s="9" t="s">
        <v>365</v>
      </c>
      <c r="F134" s="8" t="s">
        <v>368</v>
      </c>
      <c r="G134" s="9" t="s">
        <v>369</v>
      </c>
      <c r="H134" s="8"/>
      <c r="I134" s="7"/>
      <c r="J134" s="7" t="s">
        <v>26</v>
      </c>
      <c r="K134" s="7" t="s">
        <v>20</v>
      </c>
    </row>
    <row r="135" customFormat="false" ht="21.75" hidden="false" customHeight="true" outlineLevel="0" collapsed="false">
      <c r="A135" s="7" t="n">
        <v>20</v>
      </c>
      <c r="B135" s="7" t="s">
        <v>351</v>
      </c>
      <c r="C135" s="7" t="s">
        <v>36</v>
      </c>
      <c r="D135" s="8" t="s">
        <v>364</v>
      </c>
      <c r="E135" s="9" t="s">
        <v>365</v>
      </c>
      <c r="F135" s="8" t="s">
        <v>370</v>
      </c>
      <c r="G135" s="9" t="s">
        <v>371</v>
      </c>
      <c r="H135" s="8"/>
      <c r="I135" s="7"/>
      <c r="J135" s="7" t="s">
        <v>26</v>
      </c>
      <c r="K135" s="7" t="s">
        <v>20</v>
      </c>
    </row>
    <row r="136" customFormat="false" ht="21.75" hidden="false" customHeight="true" outlineLevel="0" collapsed="false">
      <c r="A136" s="7" t="n">
        <v>20</v>
      </c>
      <c r="B136" s="7" t="s">
        <v>351</v>
      </c>
      <c r="C136" s="7" t="s">
        <v>36</v>
      </c>
      <c r="D136" s="8" t="s">
        <v>364</v>
      </c>
      <c r="E136" s="9" t="s">
        <v>365</v>
      </c>
      <c r="F136" s="8" t="s">
        <v>372</v>
      </c>
      <c r="G136" s="9" t="s">
        <v>373</v>
      </c>
      <c r="H136" s="8"/>
      <c r="I136" s="7"/>
      <c r="J136" s="7" t="s">
        <v>26</v>
      </c>
      <c r="K136" s="7" t="s">
        <v>20</v>
      </c>
    </row>
    <row r="137" customFormat="false" ht="21.75" hidden="false" customHeight="true" outlineLevel="0" collapsed="false">
      <c r="A137" s="7" t="n">
        <v>20</v>
      </c>
      <c r="B137" s="7" t="s">
        <v>351</v>
      </c>
      <c r="C137" s="7" t="s">
        <v>36</v>
      </c>
      <c r="D137" s="8" t="s">
        <v>364</v>
      </c>
      <c r="E137" s="9" t="s">
        <v>365</v>
      </c>
      <c r="F137" s="8" t="s">
        <v>374</v>
      </c>
      <c r="G137" s="9" t="s">
        <v>375</v>
      </c>
      <c r="H137" s="8"/>
      <c r="I137" s="7"/>
      <c r="J137" s="7" t="s">
        <v>19</v>
      </c>
      <c r="K137" s="7" t="s">
        <v>20</v>
      </c>
    </row>
    <row r="138" customFormat="false" ht="21.75" hidden="false" customHeight="true" outlineLevel="0" collapsed="false">
      <c r="A138" s="4" t="n">
        <v>21</v>
      </c>
      <c r="B138" s="4" t="s">
        <v>376</v>
      </c>
      <c r="C138" s="4" t="s">
        <v>14</v>
      </c>
      <c r="D138" s="5" t="s">
        <v>377</v>
      </c>
      <c r="E138" s="6" t="s">
        <v>378</v>
      </c>
      <c r="F138" s="5" t="s">
        <v>379</v>
      </c>
      <c r="G138" s="6" t="s">
        <v>380</v>
      </c>
      <c r="H138" s="5"/>
      <c r="I138" s="4" t="s">
        <v>138</v>
      </c>
      <c r="J138" s="4" t="s">
        <v>26</v>
      </c>
      <c r="K138" s="4" t="s">
        <v>20</v>
      </c>
    </row>
    <row r="139" customFormat="false" ht="21.75" hidden="false" customHeight="true" outlineLevel="0" collapsed="false">
      <c r="A139" s="4" t="n">
        <v>21</v>
      </c>
      <c r="B139" s="4" t="s">
        <v>376</v>
      </c>
      <c r="C139" s="4" t="s">
        <v>14</v>
      </c>
      <c r="D139" s="5" t="s">
        <v>377</v>
      </c>
      <c r="E139" s="6" t="s">
        <v>378</v>
      </c>
      <c r="F139" s="5" t="s">
        <v>381</v>
      </c>
      <c r="G139" s="6" t="s">
        <v>382</v>
      </c>
      <c r="H139" s="5"/>
      <c r="I139" s="4" t="s">
        <v>383</v>
      </c>
      <c r="J139" s="4" t="s">
        <v>26</v>
      </c>
      <c r="K139" s="4" t="s">
        <v>20</v>
      </c>
    </row>
    <row r="140" customFormat="false" ht="21.75" hidden="false" customHeight="true" outlineLevel="0" collapsed="false">
      <c r="A140" s="4" t="n">
        <v>21</v>
      </c>
      <c r="B140" s="4" t="s">
        <v>376</v>
      </c>
      <c r="C140" s="4" t="s">
        <v>14</v>
      </c>
      <c r="D140" s="5" t="s">
        <v>377</v>
      </c>
      <c r="E140" s="6" t="s">
        <v>378</v>
      </c>
      <c r="F140" s="5" t="s">
        <v>384</v>
      </c>
      <c r="G140" s="6" t="s">
        <v>385</v>
      </c>
      <c r="H140" s="5"/>
      <c r="I140" s="4" t="s">
        <v>135</v>
      </c>
      <c r="J140" s="4" t="s">
        <v>26</v>
      </c>
      <c r="K140" s="4" t="s">
        <v>20</v>
      </c>
    </row>
    <row r="141" customFormat="false" ht="21.75" hidden="false" customHeight="true" outlineLevel="0" collapsed="false">
      <c r="A141" s="4" t="n">
        <v>21</v>
      </c>
      <c r="B141" s="4" t="s">
        <v>376</v>
      </c>
      <c r="C141" s="4" t="s">
        <v>14</v>
      </c>
      <c r="D141" s="5" t="s">
        <v>377</v>
      </c>
      <c r="E141" s="6" t="s">
        <v>378</v>
      </c>
      <c r="F141" s="5" t="s">
        <v>386</v>
      </c>
      <c r="G141" s="6" t="s">
        <v>387</v>
      </c>
      <c r="H141" s="5"/>
      <c r="I141" s="4" t="s">
        <v>388</v>
      </c>
      <c r="J141" s="4" t="s">
        <v>26</v>
      </c>
      <c r="K141" s="4" t="s">
        <v>20</v>
      </c>
    </row>
    <row r="142" customFormat="false" ht="21.75" hidden="false" customHeight="true" outlineLevel="0" collapsed="false">
      <c r="A142" s="4" t="n">
        <v>21</v>
      </c>
      <c r="B142" s="4" t="s">
        <v>376</v>
      </c>
      <c r="C142" s="4" t="s">
        <v>14</v>
      </c>
      <c r="D142" s="5" t="s">
        <v>377</v>
      </c>
      <c r="E142" s="6" t="s">
        <v>378</v>
      </c>
      <c r="F142" s="5" t="s">
        <v>389</v>
      </c>
      <c r="G142" s="6" t="s">
        <v>390</v>
      </c>
      <c r="H142" s="5"/>
      <c r="I142" s="4" t="s">
        <v>391</v>
      </c>
      <c r="J142" s="4" t="s">
        <v>26</v>
      </c>
      <c r="K142" s="4" t="s">
        <v>20</v>
      </c>
    </row>
    <row r="143" customFormat="false" ht="21.75" hidden="false" customHeight="true" outlineLevel="0" collapsed="false">
      <c r="A143" s="7" t="n">
        <v>22</v>
      </c>
      <c r="B143" s="7" t="s">
        <v>376</v>
      </c>
      <c r="C143" s="7" t="s">
        <v>36</v>
      </c>
      <c r="D143" s="8" t="s">
        <v>392</v>
      </c>
      <c r="E143" s="9" t="s">
        <v>393</v>
      </c>
      <c r="F143" s="8" t="s">
        <v>394</v>
      </c>
      <c r="G143" s="9" t="s">
        <v>395</v>
      </c>
      <c r="H143" s="8"/>
      <c r="I143" s="7" t="s">
        <v>396</v>
      </c>
      <c r="J143" s="7" t="s">
        <v>26</v>
      </c>
      <c r="K143" s="7" t="s">
        <v>20</v>
      </c>
    </row>
    <row r="144" customFormat="false" ht="21.75" hidden="false" customHeight="true" outlineLevel="0" collapsed="false">
      <c r="A144" s="7" t="n">
        <v>22</v>
      </c>
      <c r="B144" s="7" t="s">
        <v>376</v>
      </c>
      <c r="C144" s="7" t="s">
        <v>36</v>
      </c>
      <c r="D144" s="8" t="s">
        <v>392</v>
      </c>
      <c r="E144" s="9" t="s">
        <v>393</v>
      </c>
      <c r="F144" s="8" t="s">
        <v>397</v>
      </c>
      <c r="G144" s="9" t="s">
        <v>398</v>
      </c>
      <c r="H144" s="8"/>
      <c r="I144" s="7" t="s">
        <v>399</v>
      </c>
      <c r="J144" s="7" t="s">
        <v>19</v>
      </c>
      <c r="K144" s="7" t="s">
        <v>20</v>
      </c>
    </row>
    <row r="145" customFormat="false" ht="21.75" hidden="false" customHeight="true" outlineLevel="0" collapsed="false">
      <c r="A145" s="7" t="n">
        <v>22</v>
      </c>
      <c r="B145" s="7" t="s">
        <v>376</v>
      </c>
      <c r="C145" s="7" t="s">
        <v>36</v>
      </c>
      <c r="D145" s="8" t="s">
        <v>392</v>
      </c>
      <c r="E145" s="9" t="s">
        <v>393</v>
      </c>
      <c r="F145" s="8" t="s">
        <v>400</v>
      </c>
      <c r="G145" s="9" t="s">
        <v>401</v>
      </c>
      <c r="H145" s="8"/>
      <c r="I145" s="7" t="s">
        <v>135</v>
      </c>
      <c r="J145" s="7" t="s">
        <v>26</v>
      </c>
      <c r="K145" s="7" t="s">
        <v>20</v>
      </c>
    </row>
    <row r="146" customFormat="false" ht="21.75" hidden="false" customHeight="true" outlineLevel="0" collapsed="false">
      <c r="A146" s="7" t="n">
        <v>22</v>
      </c>
      <c r="B146" s="7" t="s">
        <v>376</v>
      </c>
      <c r="C146" s="7" t="s">
        <v>36</v>
      </c>
      <c r="D146" s="8" t="s">
        <v>392</v>
      </c>
      <c r="E146" s="9" t="s">
        <v>393</v>
      </c>
      <c r="F146" s="8" t="s">
        <v>402</v>
      </c>
      <c r="G146" s="9" t="s">
        <v>403</v>
      </c>
      <c r="H146" s="8"/>
      <c r="I146" s="7" t="s">
        <v>388</v>
      </c>
      <c r="J146" s="7" t="s">
        <v>19</v>
      </c>
      <c r="K146" s="7" t="s">
        <v>20</v>
      </c>
    </row>
    <row r="147" customFormat="false" ht="21.75" hidden="false" customHeight="true" outlineLevel="0" collapsed="false">
      <c r="A147" s="4" t="n">
        <v>23</v>
      </c>
      <c r="B147" s="4" t="s">
        <v>404</v>
      </c>
      <c r="C147" s="4" t="s">
        <v>14</v>
      </c>
      <c r="D147" s="5" t="s">
        <v>405</v>
      </c>
      <c r="E147" s="6" t="s">
        <v>406</v>
      </c>
      <c r="F147" s="5" t="s">
        <v>341</v>
      </c>
      <c r="G147" s="6" t="s">
        <v>407</v>
      </c>
      <c r="H147" s="5"/>
      <c r="I147" s="4"/>
      <c r="J147" s="4" t="s">
        <v>19</v>
      </c>
      <c r="K147" s="4" t="s">
        <v>20</v>
      </c>
    </row>
    <row r="148" customFormat="false" ht="21.75" hidden="false" customHeight="true" outlineLevel="0" collapsed="false">
      <c r="A148" s="4" t="n">
        <v>23</v>
      </c>
      <c r="B148" s="4" t="s">
        <v>404</v>
      </c>
      <c r="C148" s="4" t="s">
        <v>14</v>
      </c>
      <c r="D148" s="5" t="s">
        <v>405</v>
      </c>
      <c r="E148" s="6" t="s">
        <v>406</v>
      </c>
      <c r="F148" s="5" t="s">
        <v>408</v>
      </c>
      <c r="G148" s="6" t="s">
        <v>409</v>
      </c>
      <c r="H148" s="5"/>
      <c r="I148" s="4"/>
      <c r="J148" s="4" t="s">
        <v>19</v>
      </c>
      <c r="K148" s="4" t="s">
        <v>20</v>
      </c>
    </row>
    <row r="149" customFormat="false" ht="21.75" hidden="false" customHeight="true" outlineLevel="0" collapsed="false">
      <c r="A149" s="4" t="n">
        <v>23</v>
      </c>
      <c r="B149" s="4" t="s">
        <v>404</v>
      </c>
      <c r="C149" s="4" t="s">
        <v>14</v>
      </c>
      <c r="D149" s="5" t="s">
        <v>405</v>
      </c>
      <c r="E149" s="6" t="s">
        <v>406</v>
      </c>
      <c r="F149" s="5" t="s">
        <v>410</v>
      </c>
      <c r="G149" s="6" t="s">
        <v>411</v>
      </c>
      <c r="H149" s="5"/>
      <c r="I149" s="4"/>
      <c r="J149" s="4" t="s">
        <v>19</v>
      </c>
      <c r="K149" s="4" t="s">
        <v>20</v>
      </c>
    </row>
    <row r="150" customFormat="false" ht="21.75" hidden="false" customHeight="true" outlineLevel="0" collapsed="false">
      <c r="A150" s="4" t="n">
        <v>23</v>
      </c>
      <c r="B150" s="4" t="s">
        <v>404</v>
      </c>
      <c r="C150" s="4" t="s">
        <v>14</v>
      </c>
      <c r="D150" s="5" t="s">
        <v>405</v>
      </c>
      <c r="E150" s="6" t="s">
        <v>406</v>
      </c>
      <c r="F150" s="5" t="s">
        <v>412</v>
      </c>
      <c r="G150" s="6" t="s">
        <v>413</v>
      </c>
      <c r="H150" s="5"/>
      <c r="I150" s="4" t="s">
        <v>297</v>
      </c>
      <c r="J150" s="4" t="s">
        <v>19</v>
      </c>
      <c r="K150" s="4" t="s">
        <v>20</v>
      </c>
    </row>
    <row r="151" customFormat="false" ht="21.75" hidden="false" customHeight="true" outlineLevel="0" collapsed="false">
      <c r="A151" s="7" t="n">
        <v>24</v>
      </c>
      <c r="B151" s="7" t="s">
        <v>404</v>
      </c>
      <c r="C151" s="7" t="s">
        <v>36</v>
      </c>
      <c r="D151" s="8" t="s">
        <v>414</v>
      </c>
      <c r="E151" s="9" t="s">
        <v>415</v>
      </c>
      <c r="F151" s="8" t="s">
        <v>416</v>
      </c>
      <c r="G151" s="9" t="s">
        <v>417</v>
      </c>
      <c r="H151" s="8"/>
      <c r="I151" s="7"/>
      <c r="J151" s="7" t="s">
        <v>26</v>
      </c>
      <c r="K151" s="7" t="s">
        <v>20</v>
      </c>
    </row>
    <row r="152" customFormat="false" ht="21.75" hidden="false" customHeight="true" outlineLevel="0" collapsed="false">
      <c r="A152" s="7" t="n">
        <v>24</v>
      </c>
      <c r="B152" s="7" t="s">
        <v>404</v>
      </c>
      <c r="C152" s="7" t="s">
        <v>36</v>
      </c>
      <c r="D152" s="8" t="s">
        <v>414</v>
      </c>
      <c r="E152" s="9" t="s">
        <v>415</v>
      </c>
      <c r="F152" s="8" t="s">
        <v>85</v>
      </c>
      <c r="G152" s="9" t="s">
        <v>86</v>
      </c>
      <c r="H152" s="8"/>
      <c r="I152" s="7"/>
      <c r="J152" s="7" t="s">
        <v>26</v>
      </c>
      <c r="K152" s="7" t="s">
        <v>20</v>
      </c>
    </row>
    <row r="153" customFormat="false" ht="21.75" hidden="false" customHeight="true" outlineLevel="0" collapsed="false">
      <c r="A153" s="7" t="n">
        <v>24</v>
      </c>
      <c r="B153" s="7" t="s">
        <v>404</v>
      </c>
      <c r="C153" s="7" t="s">
        <v>36</v>
      </c>
      <c r="D153" s="8" t="s">
        <v>414</v>
      </c>
      <c r="E153" s="9" t="s">
        <v>415</v>
      </c>
      <c r="F153" s="8" t="s">
        <v>21</v>
      </c>
      <c r="G153" s="9" t="s">
        <v>22</v>
      </c>
      <c r="H153" s="8"/>
      <c r="I153" s="7"/>
      <c r="J153" s="7" t="s">
        <v>19</v>
      </c>
      <c r="K153" s="7" t="s">
        <v>20</v>
      </c>
    </row>
    <row r="154" customFormat="false" ht="21.75" hidden="false" customHeight="true" outlineLevel="0" collapsed="false">
      <c r="A154" s="7" t="n">
        <v>24</v>
      </c>
      <c r="B154" s="7" t="s">
        <v>404</v>
      </c>
      <c r="C154" s="7" t="s">
        <v>36</v>
      </c>
      <c r="D154" s="8" t="s">
        <v>414</v>
      </c>
      <c r="E154" s="9" t="s">
        <v>415</v>
      </c>
      <c r="F154" s="8" t="s">
        <v>418</v>
      </c>
      <c r="G154" s="9" t="s">
        <v>419</v>
      </c>
      <c r="H154" s="8"/>
      <c r="I154" s="7"/>
      <c r="J154" s="7" t="s">
        <v>19</v>
      </c>
      <c r="K154" s="7" t="s">
        <v>20</v>
      </c>
    </row>
  </sheetData>
  <autoFilter ref="A4:K1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8"/>
    <col collapsed="false" customWidth="true" hidden="false" outlineLevel="0" max="7" min="7" style="0" width="95"/>
  </cols>
  <sheetData>
    <row r="1" customFormat="false" ht="17.35" hidden="false" customHeight="false" outlineLevel="0" collapsed="false">
      <c r="A1" s="1" t="s">
        <v>420</v>
      </c>
    </row>
    <row r="3" customFormat="false" ht="26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421</v>
      </c>
      <c r="E3" s="3" t="s">
        <v>422</v>
      </c>
      <c r="F3" s="3" t="s">
        <v>423</v>
      </c>
      <c r="G3" s="3" t="s">
        <v>424</v>
      </c>
    </row>
    <row r="4" customFormat="false" ht="45.75" hidden="false" customHeight="true" outlineLevel="0" collapsed="false">
      <c r="A4" s="10" t="n">
        <v>1</v>
      </c>
      <c r="B4" s="10" t="s">
        <v>13</v>
      </c>
      <c r="C4" s="10" t="s">
        <v>14</v>
      </c>
      <c r="D4" s="11" t="s">
        <v>15</v>
      </c>
      <c r="E4" s="10" t="s">
        <v>16</v>
      </c>
      <c r="F4" s="10" t="n">
        <f aca="false">COUNTIFS(Vocabulary!$A$5:$A$154,A4,Vocabulary!$K$5:$K$154,"Word card")</f>
        <v>6</v>
      </c>
      <c r="G4" s="12" t="s">
        <v>425</v>
      </c>
    </row>
    <row r="5" customFormat="false" ht="45.75" hidden="false" customHeight="true" outlineLevel="0" collapsed="false">
      <c r="A5" s="10" t="n">
        <v>2</v>
      </c>
      <c r="B5" s="10" t="s">
        <v>13</v>
      </c>
      <c r="C5" s="10" t="s">
        <v>36</v>
      </c>
      <c r="D5" s="11" t="s">
        <v>15</v>
      </c>
      <c r="E5" s="10" t="s">
        <v>37</v>
      </c>
      <c r="F5" s="10" t="n">
        <f aca="false">COUNTIFS(Vocabulary!$A$5:$A$154,A5,Vocabulary!$K$5:$K$154,"Word card")</f>
        <v>4</v>
      </c>
      <c r="G5" s="12" t="s">
        <v>426</v>
      </c>
    </row>
    <row r="6" customFormat="false" ht="45.75" hidden="false" customHeight="true" outlineLevel="0" collapsed="false">
      <c r="A6" s="10" t="n">
        <v>3</v>
      </c>
      <c r="B6" s="10" t="s">
        <v>13</v>
      </c>
      <c r="C6" s="10" t="s">
        <v>50</v>
      </c>
      <c r="D6" s="11" t="s">
        <v>51</v>
      </c>
      <c r="E6" s="10" t="s">
        <v>52</v>
      </c>
      <c r="F6" s="10" t="n">
        <f aca="false">COUNTIFS(Vocabulary!$A$5:$A$154,A6,Vocabulary!$K$5:$K$154,"Word card")</f>
        <v>10</v>
      </c>
      <c r="G6" s="12" t="s">
        <v>427</v>
      </c>
    </row>
    <row r="7" customFormat="false" ht="45.75" hidden="false" customHeight="true" outlineLevel="0" collapsed="false">
      <c r="A7" s="10" t="n">
        <v>4</v>
      </c>
      <c r="B7" s="10" t="s">
        <v>13</v>
      </c>
      <c r="C7" s="10" t="s">
        <v>82</v>
      </c>
      <c r="D7" s="11" t="s">
        <v>83</v>
      </c>
      <c r="E7" s="10" t="s">
        <v>84</v>
      </c>
      <c r="F7" s="10" t="n">
        <f aca="false">COUNTIFS(Vocabulary!$A$5:$A$154,A7,Vocabulary!$K$5:$K$154,"Word card")</f>
        <v>6</v>
      </c>
      <c r="G7" s="12" t="s">
        <v>428</v>
      </c>
    </row>
    <row r="8" customFormat="false" ht="45.75" hidden="false" customHeight="true" outlineLevel="0" collapsed="false">
      <c r="A8" s="10" t="n">
        <v>5</v>
      </c>
      <c r="B8" s="10" t="s">
        <v>13</v>
      </c>
      <c r="C8" s="10" t="s">
        <v>101</v>
      </c>
      <c r="D8" s="11" t="s">
        <v>102</v>
      </c>
      <c r="E8" s="10" t="s">
        <v>103</v>
      </c>
      <c r="F8" s="10" t="n">
        <f aca="false">COUNTIFS(Vocabulary!$A$5:$A$154,A8,Vocabulary!$K$5:$K$154,"Word card")</f>
        <v>5</v>
      </c>
      <c r="G8" s="12" t="s">
        <v>429</v>
      </c>
    </row>
    <row r="9" customFormat="false" ht="45.75" hidden="false" customHeight="true" outlineLevel="0" collapsed="false">
      <c r="A9" s="10" t="n">
        <v>6</v>
      </c>
      <c r="B9" s="10" t="s">
        <v>115</v>
      </c>
      <c r="C9" s="10" t="s">
        <v>14</v>
      </c>
      <c r="D9" s="11" t="s">
        <v>116</v>
      </c>
      <c r="E9" s="10" t="s">
        <v>117</v>
      </c>
      <c r="F9" s="10" t="n">
        <f aca="false">COUNTIFS(Vocabulary!$A$5:$A$154,A9,Vocabulary!$K$5:$K$154,"Word card")</f>
        <v>5</v>
      </c>
      <c r="G9" s="12" t="s">
        <v>430</v>
      </c>
    </row>
    <row r="10" customFormat="false" ht="45.75" hidden="false" customHeight="true" outlineLevel="0" collapsed="false">
      <c r="A10" s="10" t="n">
        <v>7</v>
      </c>
      <c r="B10" s="10" t="s">
        <v>115</v>
      </c>
      <c r="C10" s="10" t="s">
        <v>36</v>
      </c>
      <c r="D10" s="11" t="s">
        <v>116</v>
      </c>
      <c r="E10" s="10" t="s">
        <v>132</v>
      </c>
      <c r="F10" s="10" t="n">
        <f aca="false">COUNTIFS(Vocabulary!$A$5:$A$154,A10,Vocabulary!$K$5:$K$154,"Word card")</f>
        <v>4</v>
      </c>
      <c r="G10" s="12" t="s">
        <v>431</v>
      </c>
    </row>
    <row r="11" customFormat="false" ht="45.75" hidden="false" customHeight="true" outlineLevel="0" collapsed="false">
      <c r="A11" s="10" t="n">
        <v>8</v>
      </c>
      <c r="B11" s="10" t="s">
        <v>145</v>
      </c>
      <c r="C11" s="10" t="s">
        <v>14</v>
      </c>
      <c r="D11" s="11" t="s">
        <v>146</v>
      </c>
      <c r="E11" s="10" t="s">
        <v>147</v>
      </c>
      <c r="F11" s="10" t="n">
        <f aca="false">COUNTIFS(Vocabulary!$A$5:$A$154,A11,Vocabulary!$K$5:$K$154,"Word card")</f>
        <v>4</v>
      </c>
      <c r="G11" s="12" t="s">
        <v>432</v>
      </c>
    </row>
    <row r="12" customFormat="false" ht="45.75" hidden="false" customHeight="true" outlineLevel="0" collapsed="false">
      <c r="A12" s="10" t="n">
        <v>9</v>
      </c>
      <c r="B12" s="10" t="s">
        <v>145</v>
      </c>
      <c r="C12" s="10" t="s">
        <v>36</v>
      </c>
      <c r="D12" s="11" t="s">
        <v>163</v>
      </c>
      <c r="E12" s="10" t="s">
        <v>164</v>
      </c>
      <c r="F12" s="10" t="n">
        <f aca="false">COUNTIFS(Vocabulary!$A$5:$A$154,A12,Vocabulary!$K$5:$K$154,"Word card")</f>
        <v>4</v>
      </c>
      <c r="G12" s="12" t="s">
        <v>433</v>
      </c>
    </row>
    <row r="13" customFormat="false" ht="45.75" hidden="false" customHeight="true" outlineLevel="0" collapsed="false">
      <c r="A13" s="10" t="n">
        <v>10</v>
      </c>
      <c r="B13" s="10" t="s">
        <v>181</v>
      </c>
      <c r="C13" s="10" t="s">
        <v>14</v>
      </c>
      <c r="D13" s="11" t="s">
        <v>182</v>
      </c>
      <c r="E13" s="10" t="s">
        <v>183</v>
      </c>
      <c r="F13" s="10" t="n">
        <f aca="false">COUNTIFS(Vocabulary!$A$5:$A$154,A13,Vocabulary!$K$5:$K$154,"Word card")</f>
        <v>4</v>
      </c>
      <c r="G13" s="12" t="s">
        <v>434</v>
      </c>
    </row>
    <row r="14" customFormat="false" ht="45.75" hidden="false" customHeight="true" outlineLevel="0" collapsed="false">
      <c r="A14" s="10" t="n">
        <v>11</v>
      </c>
      <c r="B14" s="10" t="s">
        <v>181</v>
      </c>
      <c r="C14" s="10" t="s">
        <v>36</v>
      </c>
      <c r="D14" s="11" t="s">
        <v>196</v>
      </c>
      <c r="E14" s="10" t="s">
        <v>197</v>
      </c>
      <c r="F14" s="10" t="n">
        <f aca="false">COUNTIFS(Vocabulary!$A$5:$A$154,A14,Vocabulary!$K$5:$K$154,"Word card")</f>
        <v>4</v>
      </c>
      <c r="G14" s="12" t="s">
        <v>435</v>
      </c>
    </row>
    <row r="15" customFormat="false" ht="45.75" hidden="false" customHeight="true" outlineLevel="0" collapsed="false">
      <c r="A15" s="10" t="n">
        <v>12</v>
      </c>
      <c r="B15" s="10" t="s">
        <v>216</v>
      </c>
      <c r="C15" s="10" t="s">
        <v>14</v>
      </c>
      <c r="D15" s="11" t="s">
        <v>217</v>
      </c>
      <c r="E15" s="10" t="s">
        <v>218</v>
      </c>
      <c r="F15" s="10" t="n">
        <f aca="false">COUNTIFS(Vocabulary!$A$5:$A$154,A15,Vocabulary!$K$5:$K$154,"Word card")</f>
        <v>4</v>
      </c>
      <c r="G15" s="12" t="s">
        <v>436</v>
      </c>
    </row>
    <row r="16" customFormat="false" ht="45.75" hidden="false" customHeight="true" outlineLevel="0" collapsed="false">
      <c r="A16" s="10" t="n">
        <v>13</v>
      </c>
      <c r="B16" s="10" t="s">
        <v>216</v>
      </c>
      <c r="C16" s="10" t="s">
        <v>36</v>
      </c>
      <c r="D16" s="11" t="s">
        <v>233</v>
      </c>
      <c r="E16" s="10" t="s">
        <v>234</v>
      </c>
      <c r="F16" s="10" t="n">
        <f aca="false">COUNTIFS(Vocabulary!$A$5:$A$154,A16,Vocabulary!$K$5:$K$154,"Word card")</f>
        <v>4</v>
      </c>
      <c r="G16" s="12" t="s">
        <v>437</v>
      </c>
    </row>
    <row r="17" customFormat="false" ht="45.75" hidden="false" customHeight="true" outlineLevel="0" collapsed="false">
      <c r="A17" s="10" t="n">
        <v>14</v>
      </c>
      <c r="B17" s="10" t="s">
        <v>255</v>
      </c>
      <c r="C17" s="10" t="s">
        <v>14</v>
      </c>
      <c r="D17" s="11" t="s">
        <v>256</v>
      </c>
      <c r="E17" s="10" t="s">
        <v>257</v>
      </c>
      <c r="F17" s="10" t="n">
        <f aca="false">COUNTIFS(Vocabulary!$A$5:$A$154,A17,Vocabulary!$K$5:$K$154,"Word card")</f>
        <v>4</v>
      </c>
      <c r="G17" s="12" t="s">
        <v>438</v>
      </c>
    </row>
    <row r="18" customFormat="false" ht="45.75" hidden="false" customHeight="true" outlineLevel="0" collapsed="false">
      <c r="A18" s="10" t="n">
        <v>15</v>
      </c>
      <c r="B18" s="10" t="s">
        <v>255</v>
      </c>
      <c r="C18" s="10" t="s">
        <v>36</v>
      </c>
      <c r="D18" s="11" t="s">
        <v>270</v>
      </c>
      <c r="E18" s="10" t="s">
        <v>271</v>
      </c>
      <c r="F18" s="10" t="n">
        <f aca="false">COUNTIFS(Vocabulary!$A$5:$A$154,A18,Vocabulary!$K$5:$K$154,"Word card")</f>
        <v>5</v>
      </c>
      <c r="G18" s="12" t="s">
        <v>439</v>
      </c>
    </row>
    <row r="19" customFormat="false" ht="45.75" hidden="false" customHeight="true" outlineLevel="0" collapsed="false">
      <c r="A19" s="10" t="n">
        <v>16</v>
      </c>
      <c r="B19" s="10" t="s">
        <v>285</v>
      </c>
      <c r="C19" s="10" t="s">
        <v>14</v>
      </c>
      <c r="D19" s="11" t="s">
        <v>286</v>
      </c>
      <c r="E19" s="10" t="s">
        <v>287</v>
      </c>
      <c r="F19" s="10" t="n">
        <f aca="false">COUNTIFS(Vocabulary!$A$5:$A$154,A19,Vocabulary!$K$5:$K$154,"Word card")</f>
        <v>10</v>
      </c>
      <c r="G19" s="12" t="s">
        <v>440</v>
      </c>
    </row>
    <row r="20" customFormat="false" ht="45.75" hidden="false" customHeight="true" outlineLevel="0" collapsed="false">
      <c r="A20" s="10" t="n">
        <v>17</v>
      </c>
      <c r="B20" s="10" t="s">
        <v>285</v>
      </c>
      <c r="C20" s="10" t="s">
        <v>36</v>
      </c>
      <c r="D20" s="11" t="s">
        <v>316</v>
      </c>
      <c r="E20" s="10" t="s">
        <v>317</v>
      </c>
      <c r="F20" s="10" t="n">
        <f aca="false">COUNTIFS(Vocabulary!$A$5:$A$154,A20,Vocabulary!$K$5:$K$154,"Word card")</f>
        <v>4</v>
      </c>
      <c r="G20" s="12" t="s">
        <v>441</v>
      </c>
    </row>
    <row r="21" customFormat="false" ht="45.75" hidden="false" customHeight="true" outlineLevel="0" collapsed="false">
      <c r="A21" s="10" t="n">
        <v>18</v>
      </c>
      <c r="B21" s="10" t="s">
        <v>285</v>
      </c>
      <c r="C21" s="10" t="s">
        <v>50</v>
      </c>
      <c r="D21" s="11" t="s">
        <v>328</v>
      </c>
      <c r="E21" s="10" t="s">
        <v>329</v>
      </c>
      <c r="F21" s="10" t="n">
        <f aca="false">COUNTIFS(Vocabulary!$A$5:$A$154,A21,Vocabulary!$K$5:$K$154,"Word card")</f>
        <v>4</v>
      </c>
      <c r="G21" s="12" t="s">
        <v>442</v>
      </c>
    </row>
    <row r="22" customFormat="false" ht="45.75" hidden="false" customHeight="true" outlineLevel="0" collapsed="false">
      <c r="A22" s="10" t="n">
        <v>19</v>
      </c>
      <c r="B22" s="10" t="s">
        <v>351</v>
      </c>
      <c r="C22" s="10" t="s">
        <v>14</v>
      </c>
      <c r="D22" s="11" t="s">
        <v>352</v>
      </c>
      <c r="E22" s="10" t="s">
        <v>353</v>
      </c>
      <c r="F22" s="10" t="n">
        <f aca="false">COUNTIFS(Vocabulary!$A$5:$A$154,A22,Vocabulary!$K$5:$K$154,"Word card")</f>
        <v>5</v>
      </c>
      <c r="G22" s="12" t="s">
        <v>443</v>
      </c>
    </row>
    <row r="23" customFormat="false" ht="45.75" hidden="false" customHeight="true" outlineLevel="0" collapsed="false">
      <c r="A23" s="10" t="n">
        <v>20</v>
      </c>
      <c r="B23" s="10" t="s">
        <v>351</v>
      </c>
      <c r="C23" s="10" t="s">
        <v>36</v>
      </c>
      <c r="D23" s="11" t="s">
        <v>364</v>
      </c>
      <c r="E23" s="10" t="s">
        <v>365</v>
      </c>
      <c r="F23" s="10" t="n">
        <f aca="false">COUNTIFS(Vocabulary!$A$5:$A$154,A23,Vocabulary!$K$5:$K$154,"Word card")</f>
        <v>5</v>
      </c>
      <c r="G23" s="12" t="s">
        <v>444</v>
      </c>
    </row>
    <row r="24" customFormat="false" ht="45.75" hidden="false" customHeight="true" outlineLevel="0" collapsed="false">
      <c r="A24" s="10" t="n">
        <v>21</v>
      </c>
      <c r="B24" s="10" t="s">
        <v>376</v>
      </c>
      <c r="C24" s="10" t="s">
        <v>14</v>
      </c>
      <c r="D24" s="11" t="s">
        <v>377</v>
      </c>
      <c r="E24" s="10" t="s">
        <v>378</v>
      </c>
      <c r="F24" s="10" t="n">
        <f aca="false">COUNTIFS(Vocabulary!$A$5:$A$154,A24,Vocabulary!$K$5:$K$154,"Word card")</f>
        <v>5</v>
      </c>
      <c r="G24" s="12" t="s">
        <v>445</v>
      </c>
    </row>
    <row r="25" customFormat="false" ht="45.75" hidden="false" customHeight="true" outlineLevel="0" collapsed="false">
      <c r="A25" s="10" t="n">
        <v>22</v>
      </c>
      <c r="B25" s="10" t="s">
        <v>376</v>
      </c>
      <c r="C25" s="10" t="s">
        <v>36</v>
      </c>
      <c r="D25" s="11" t="s">
        <v>392</v>
      </c>
      <c r="E25" s="10" t="s">
        <v>393</v>
      </c>
      <c r="F25" s="10" t="n">
        <f aca="false">COUNTIFS(Vocabulary!$A$5:$A$154,A25,Vocabulary!$K$5:$K$154,"Word card")</f>
        <v>4</v>
      </c>
      <c r="G25" s="12" t="s">
        <v>446</v>
      </c>
    </row>
    <row r="26" customFormat="false" ht="45.75" hidden="false" customHeight="true" outlineLevel="0" collapsed="false">
      <c r="A26" s="10" t="n">
        <v>23</v>
      </c>
      <c r="B26" s="10" t="s">
        <v>404</v>
      </c>
      <c r="C26" s="10" t="s">
        <v>14</v>
      </c>
      <c r="D26" s="11" t="s">
        <v>405</v>
      </c>
      <c r="E26" s="10" t="s">
        <v>406</v>
      </c>
      <c r="F26" s="10" t="n">
        <f aca="false">COUNTIFS(Vocabulary!$A$5:$A$154,A26,Vocabulary!$K$5:$K$154,"Word card")</f>
        <v>4</v>
      </c>
      <c r="G26" s="12" t="s">
        <v>447</v>
      </c>
    </row>
    <row r="27" customFormat="false" ht="45.75" hidden="false" customHeight="true" outlineLevel="0" collapsed="false">
      <c r="A27" s="10" t="n">
        <v>24</v>
      </c>
      <c r="B27" s="10" t="s">
        <v>404</v>
      </c>
      <c r="C27" s="10" t="s">
        <v>36</v>
      </c>
      <c r="D27" s="11" t="s">
        <v>414</v>
      </c>
      <c r="E27" s="10" t="s">
        <v>415</v>
      </c>
      <c r="F27" s="10" t="n">
        <f aca="false">COUNTIFS(Vocabulary!$A$5:$A$154,A27,Vocabulary!$K$5:$K$154,"Word card")</f>
        <v>4</v>
      </c>
      <c r="G27" s="12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449</v>
      </c>
    </row>
    <row r="5" customFormat="false" ht="15" hidden="false" customHeight="false" outlineLevel="0" collapsed="false">
      <c r="A5" s="13" t="s">
        <v>450</v>
      </c>
      <c r="B5" s="14" t="n">
        <f aca="false">COUNTA(Lessons!$A$4:$A$27)</f>
        <v>24</v>
      </c>
    </row>
    <row r="6" customFormat="false" ht="15" hidden="false" customHeight="false" outlineLevel="0" collapsed="false">
      <c r="A6" s="13" t="s">
        <v>451</v>
      </c>
      <c r="B6" s="14" t="n">
        <f aca="false">COUNTA(Vocabulary!$F$5:$F$154)</f>
        <v>150</v>
      </c>
    </row>
    <row r="7" customFormat="false" ht="15" hidden="false" customHeight="false" outlineLevel="0" collapsed="false">
      <c r="A7" s="13" t="s">
        <v>452</v>
      </c>
      <c r="B7" s="14" t="n">
        <f aca="false">COUNTIF(Vocabulary!$K$5:$K$154,"Word card")</f>
        <v>118</v>
      </c>
    </row>
    <row r="8" customFormat="false" ht="15" hidden="false" customHeight="false" outlineLevel="0" collapsed="false">
      <c r="A8" s="13" t="s">
        <v>453</v>
      </c>
      <c r="B8" s="14" t="n">
        <f aca="false">COUNTIF(Vocabulary!$K$5:$K$154,"Grammar &amp; exercises")</f>
        <v>0</v>
      </c>
    </row>
    <row r="9" customFormat="false" ht="15" hidden="false" customHeight="false" outlineLevel="0" collapsed="false">
      <c r="A9" s="13" t="s">
        <v>454</v>
      </c>
      <c r="B9" s="14" t="n">
        <f aca="false">COUNTIF(Vocabulary!$K$5:$K$154,"Quran verse tile")</f>
        <v>32</v>
      </c>
    </row>
    <row r="10" customFormat="false" ht="15" hidden="false" customHeight="false" outlineLevel="0" collapsed="false">
      <c r="A10" s="13" t="s">
        <v>455</v>
      </c>
      <c r="B10" s="14" t="n">
        <f aca="false">SUMPRODUCT((Vocabulary!$F$5:$F$154&lt;&gt;"")/COUNTIF(Vocabulary!$F$5:$F$154,Vocabulary!$F$5:$F$154&amp;""))</f>
        <v>143</v>
      </c>
    </row>
    <row r="11" customFormat="false" ht="15" hidden="false" customHeight="false" outlineLevel="0" collapsed="false">
      <c r="A11" s="13" t="s">
        <v>456</v>
      </c>
      <c r="B11" s="14" t="n">
        <f aca="false">COUNTIF(Vocabulary!$J$5:$J$154,"Yes")</f>
        <v>84</v>
      </c>
    </row>
    <row r="12" customFormat="false" ht="15" hidden="false" customHeight="false" outlineLevel="0" collapsed="false">
      <c r="A12" s="13" t="s">
        <v>457</v>
      </c>
      <c r="B12" s="14" t="n">
        <f aca="false">COUNTA(Vocabulary!$I$5:$I$154)</f>
        <v>68</v>
      </c>
    </row>
    <row r="13" customFormat="false" ht="15" hidden="false" customHeight="false" outlineLevel="0" collapsed="false">
      <c r="A13" s="13" t="s">
        <v>458</v>
      </c>
      <c r="B13" s="14" t="n">
        <f aca="false">COUNTA(Vocabulary!$H$5:$H$154)</f>
        <v>8</v>
      </c>
    </row>
    <row r="14" customFormat="false" ht="15" hidden="false" customHeight="false" outlineLevel="0" collapsed="false">
      <c r="A14" s="13" t="s">
        <v>459</v>
      </c>
      <c r="B14" s="14" t="n">
        <f aca="false">ROUND(B7/B5,1)</f>
        <v>4.9</v>
      </c>
    </row>
    <row r="16" customFormat="false" ht="15" hidden="false" customHeight="true" outlineLevel="0" collapsed="false">
      <c r="A16" s="15" t="s">
        <v>460</v>
      </c>
      <c r="B16" s="15"/>
    </row>
    <row r="17" customFormat="false" ht="15" hidden="false" customHeight="false" outlineLevel="0" collapsed="false">
      <c r="A17" s="15"/>
      <c r="B17" s="15"/>
    </row>
    <row r="18" customFormat="false" ht="15" hidden="false" customHeight="false" outlineLevel="0" collapsed="false">
      <c r="A18" s="15"/>
      <c r="B18" s="15"/>
    </row>
    <row r="19" customFormat="false" ht="15" hidden="false" customHeight="false" outlineLevel="0" collapsed="false">
      <c r="A19" s="15"/>
      <c r="B19" s="15"/>
    </row>
  </sheetData>
  <mergeCells count="1">
    <mergeCell ref="A16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2026-08-04T11:30:26Z</dcterms:created>
  <dc:creator>openpyxl</dc:creator>
  <dc:description/>
  <dc:language>en-US</dc:language>
  <cp:lastModifiedBy/>
  <dcterms:modified xsi:type="dcterms:W3CDTF">2026-08-04T11:30:27Z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